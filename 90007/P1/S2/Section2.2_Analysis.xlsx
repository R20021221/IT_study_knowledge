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istance vs Hop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Hop Count vs Geographic Distance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scatterChart>
        <scatterStyle val="lineMarker"/>
        <varyColors val="0"/>
        <ser>
          <idx val="0"/>
          <order val="0"/>
          <tx>
            <strRef>
              <f>"Servers"</f>
              <strCache>
                <ptCount val="1"/>
                <pt idx="0">
                  <v>Servers</v>
                </pt>
              </strCache>
            </strRef>
          </tx>
          <spPr>
            <a:solidFill xmlns:a="http://schemas.openxmlformats.org/drawingml/2006/main">
              <a:srgbClr val="305496"/>
            </a:solidFill>
            <a:ln xmlns:a="http://schemas.openxmlformats.org/drawingml/2006/main" w="12600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30549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trendline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  <trendlineType val="linear"/>
            <forward val="0"/>
            <backward val="0"/>
            <dispRSqr val="1"/>
            <dispEq val="0"/>
          </trendline>
          <xVal>
            <numRef>
              <f>'Distance vs Hops'!$K$5:$K$14</f>
              <numCache>
                <formatCode>General</formatCode>
                <ptCount val="10"/>
                <pt idx="0">
                  <v>14155</v>
                </pt>
                <pt idx="1">
                  <v>16321</v>
                </pt>
                <pt idx="2">
                  <v>16321</v>
                </pt>
                <pt idx="3">
                  <v>15636</v>
                </pt>
                <pt idx="4">
                  <v>15207</v>
                </pt>
                <pt idx="5">
                  <v>16292</v>
                </pt>
                <pt idx="6">
                  <v>17761</v>
                </pt>
                <pt idx="7">
                  <v>13621</v>
                </pt>
                <pt idx="8">
                  <v>14482</v>
                </pt>
                <pt idx="9">
                  <v>12679</v>
                </pt>
              </numCache>
            </numRef>
          </xVal>
          <yVal>
            <numRef>
              <f>'Distance vs Hops'!$F$5:$F$14</f>
              <numCache>
                <formatCode>General</formatCode>
                <ptCount val="10"/>
                <pt idx="0">
                  <v>23</v>
                </pt>
                <pt idx="1">
                  <v>20</v>
                </pt>
                <pt idx="2">
                  <v>16</v>
                </pt>
                <pt idx="3">
                  <v>23</v>
                </pt>
                <pt idx="4">
                  <v>19</v>
                </pt>
                <pt idx="5">
                  <v>22</v>
                </pt>
                <pt idx="6">
                  <v>15</v>
                </pt>
                <pt idx="7">
                  <v>26</v>
                </pt>
                <pt idx="8">
                  <v>19</v>
                </pt>
                <pt idx="9">
                  <v>21</v>
                </pt>
              </numCache>
            </numRef>
          </yVal>
          <smooth val="1"/>
        </ser>
        <axId val="78770895"/>
        <axId val="24911075"/>
      </scatterChart>
      <valAx>
        <axId val="78770895"/>
        <scaling>
          <orientation val="minMax"/>
          <max val="20000"/>
          <min val="10000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Great-circle distance from Melbourne (km)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911075"/>
        <crosses val="autoZero"/>
        <crossBetween val="midCat"/>
        <majorUnit val="2000"/>
      </valAx>
      <valAx>
        <axId val="24911075"/>
        <scaling>
          <orientation val="minMax"/>
          <max val="28"/>
          <min val="10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Hop count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770895"/>
        <crosses val="autoZero"/>
        <crossBetween val="midCat"/>
        <majorUnit val="2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24</row>
      <rowOff>0</rowOff>
    </from>
    <to>
      <col>3</col>
      <colOff>1842840</colOff>
      <row>44</row>
      <rowOff>147600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oneCellAnchor>
    <from>
      <col>0</col>
      <colOff>0</colOff>
      <row>45</row>
      <rowOff>0</rowOff>
    </from>
    <ext cx="68580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71</row>
      <rowOff>0</rowOff>
    </from>
    <ext cx="7239000" cy="438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1" showOutlineSymbols="1" defaultGridColor="1" view="normal" topLeftCell="A1" colorId="64" zoomScale="80" zoomScaleNormal="80" zoomScalePageLayoutView="100" workbookViewId="0">
      <pane xSplit="0" ySplit="3" topLeftCell="A4" activePane="bottomLeft" state="frozen"/>
      <selection pane="topLeft" activeCell="A1" activeCellId="0" sqref="A1"/>
      <selection pane="bottomLeft" activeCell="H17" activeCellId="0" sqref="H17"/>
    </sheetView>
  </sheetViews>
  <sheetFormatPr baseColWidth="8" defaultColWidth="8.6796875" defaultRowHeight="16.5" customHeight="0" zeroHeight="0" outlineLevelRow="0"/>
  <cols>
    <col width="28" customWidth="1" style="12" min="1" max="1"/>
    <col width="32" customWidth="1" style="12" min="2" max="2"/>
    <col width="16" customWidth="1" style="12" min="3" max="3"/>
    <col width="35.64" customWidth="1" style="12" min="4" max="4"/>
    <col width="14" customWidth="1" style="12" min="5" max="5"/>
    <col width="10" customWidth="1" style="12" min="6" max="6"/>
    <col width="18" customWidth="1" style="12" min="7" max="7"/>
    <col width="16" customWidth="1" style="12" min="8" max="8"/>
    <col width="12" customWidth="1" style="12" min="9" max="10"/>
    <col width="14" customWidth="1" style="12" min="11" max="11"/>
    <col width="33.86" customWidth="1" style="12" min="12" max="12"/>
    <col width="55" customWidth="1" style="12" min="13" max="13"/>
  </cols>
  <sheetData>
    <row r="1" ht="24" customHeight="1" s="13">
      <c r="A1" s="14" t="inlineStr">
        <is>
          <t>COMP90007 Project 1 — Section 2.2  Hop Count vs Geographic Distance</t>
        </is>
      </c>
    </row>
    <row r="2" ht="16.5" customHeight="1" s="13">
      <c r="A2" s="15" t="inlineStr">
        <is>
          <t>Origin: Melbourne CBD, Australia (privacy-safe approximation).  Yellow cells = fill in.  Green = auto-computed.</t>
        </is>
      </c>
    </row>
    <row r="3" ht="58.5" customHeight="1" s="13">
      <c r="A3" s="16" t="inlineStr">
        <is>
          <t>#</t>
        </is>
      </c>
      <c r="B3" s="16" t="inlineStr">
        <is>
          <t>Hostname</t>
        </is>
      </c>
      <c r="C3" s="16" t="inlineStr">
        <is>
          <t>Destination IP</t>
        </is>
      </c>
      <c r="D3" s="16" t="inlineStr">
        <is>
          <t>Listed Region</t>
        </is>
      </c>
      <c r="E3" s="16" t="inlineStr">
        <is>
          <t>Traceroute Mode</t>
        </is>
      </c>
      <c r="F3" s="16" t="inlineStr">
        <is>
          <t>Hop Count</t>
        </is>
      </c>
      <c r="G3" s="16" t="inlineStr">
        <is>
          <t>Detected City</t>
        </is>
      </c>
      <c r="H3" s="16" t="inlineStr">
        <is>
          <t>Country</t>
        </is>
      </c>
      <c r="I3" s="16" t="inlineStr">
        <is>
          <t>Latitude</t>
        </is>
      </c>
      <c r="J3" s="16" t="inlineStr">
        <is>
          <t>Longitude</t>
        </is>
      </c>
      <c r="K3" s="16" t="inlineStr">
        <is>
          <t>Distance (km)</t>
        </is>
      </c>
      <c r="L3" s="16" t="inlineStr">
        <is>
          <t>Notes</t>
        </is>
      </c>
      <c r="M3" s="17" t="inlineStr">
        <is>
          <t>How to use this sheet</t>
        </is>
      </c>
    </row>
    <row r="4" ht="33.75" customHeight="1" s="13">
      <c r="A4" s="18" t="inlineStr">
        <is>
          <t>Origin</t>
        </is>
      </c>
      <c r="B4" s="19" t="inlineStr">
        <is>
          <t>MY LOCATION (Melbourne CBD)</t>
        </is>
      </c>
      <c r="C4" s="18" t="inlineStr">
        <is>
          <t>—</t>
        </is>
      </c>
      <c r="D4" s="18" t="inlineStr">
        <is>
          <t>Australia</t>
        </is>
      </c>
      <c r="E4" s="18" t="inlineStr">
        <is>
          <t>—</t>
        </is>
      </c>
      <c r="F4" s="18" t="n">
        <v>0</v>
      </c>
      <c r="G4" s="18" t="inlineStr">
        <is>
          <t>Melbourne</t>
        </is>
      </c>
      <c r="H4" s="18" t="inlineStr">
        <is>
          <t>Australia</t>
        </is>
      </c>
      <c r="I4" s="18" t="n">
        <v>-37.8136</v>
      </c>
      <c r="J4" s="18" t="n">
        <v>144.9631</v>
      </c>
      <c r="K4" s="18" t="n">
        <v>0</v>
      </c>
      <c r="L4" s="19" t="inlineStr">
        <is>
          <t>Reference point for Haversine distance</t>
        </is>
      </c>
      <c r="M4" s="20" t="n"/>
    </row>
    <row r="5" ht="21.75" customHeight="1" s="13">
      <c r="A5" s="21" t="n">
        <v>1</v>
      </c>
      <c r="B5" s="22" t="inlineStr">
        <is>
          <t>speedtest.awbb.net</t>
        </is>
      </c>
      <c r="C5" s="23" t="inlineStr">
        <is>
          <t>104.245.79.230</t>
        </is>
      </c>
      <c r="D5" s="21" t="inlineStr">
        <is>
          <t>USA</t>
        </is>
      </c>
      <c r="E5" s="21" t="inlineStr">
        <is>
          <t>UDP</t>
        </is>
      </c>
      <c r="F5" s="21" t="n">
        <v>23</v>
      </c>
      <c r="G5" s="23" t="inlineStr">
        <is>
          <t>Floydada</t>
        </is>
      </c>
      <c r="H5" s="23" t="inlineStr">
        <is>
          <t>United States</t>
        </is>
      </c>
      <c r="I5" s="23" t="n">
        <v>33.9845</v>
      </c>
      <c r="J5" s="23" t="n">
        <v>-101.338</v>
      </c>
      <c r="K5" s="23">
        <f>IF(OR(I5="",J5=""),"",ROUND(6371*ACOS(MIN(1,SIN(RADIANS($I$4))*SIN(RADIANS(I5))+COS(RADIANS($I$4))*COS(RADIANS(I5))*COS(RADIANS(J5-$J$4)))),0))</f>
        <v/>
      </c>
      <c r="L5" s="22" t="n"/>
      <c r="M5" s="20" t="inlineStr">
        <is>
          <t>1. Look up each destination's geolocation at  https://db-ip.com/  (free, no login).</t>
        </is>
      </c>
    </row>
    <row r="6" ht="21.75" customHeight="1" s="13">
      <c r="A6" s="21" t="n">
        <v>2</v>
      </c>
      <c r="B6" s="22" t="inlineStr">
        <is>
          <t>spd-desrv.hostkey.com</t>
        </is>
      </c>
      <c r="C6" s="23" t="inlineStr">
        <is>
          <t>185.84.224.68</t>
        </is>
      </c>
      <c r="D6" s="21" t="inlineStr">
        <is>
          <t>Germany</t>
        </is>
      </c>
      <c r="E6" s="21" t="inlineStr">
        <is>
          <t>ICMP</t>
        </is>
      </c>
      <c r="F6" s="21" t="n">
        <v>20</v>
      </c>
      <c r="G6" s="23" t="inlineStr">
        <is>
          <t>Frankfurt am Main</t>
        </is>
      </c>
      <c r="H6" s="23" t="inlineStr">
        <is>
          <t>Germany</t>
        </is>
      </c>
      <c r="I6" s="23" t="n">
        <v>50.1109</v>
      </c>
      <c r="J6" s="23" t="n">
        <v>8.682130000000001</v>
      </c>
      <c r="K6" s="23">
        <f>IF(OR(I6="",J6=""),"",ROUND(6371*ACOS(MIN(1,SIN(RADIANS($I$4))*SIN(RADIANS(I6))+COS(RADIANS($I$4))*COS(RADIANS(I6))*COS(RADIANS(J6-$J$4)))),0))</f>
        <v/>
      </c>
      <c r="L6" s="22" t="n"/>
      <c r="M6" s="20" t="inlineStr">
        <is>
          <t xml:space="preserve">   • Paste the hostname or resolved IP into the search box.</t>
        </is>
      </c>
    </row>
    <row r="7" ht="21.75" customHeight="1" s="13">
      <c r="A7" s="21" t="n">
        <v>3</v>
      </c>
      <c r="B7" s="22" t="inlineStr">
        <is>
          <t>speedtest.wobcom.de</t>
        </is>
      </c>
      <c r="C7" s="23" t="inlineStr">
        <is>
          <t>62.176.224.217</t>
        </is>
      </c>
      <c r="D7" s="21" t="inlineStr">
        <is>
          <t>Austria (listed) / Germany?</t>
        </is>
      </c>
      <c r="E7" s="21" t="inlineStr">
        <is>
          <t>ICMP</t>
        </is>
      </c>
      <c r="F7" s="21" t="n">
        <v>16</v>
      </c>
      <c r="G7" s="23" t="inlineStr">
        <is>
          <t>Frankfurt am Main</t>
        </is>
      </c>
      <c r="H7" s="23" t="inlineStr">
        <is>
          <t>Germany</t>
        </is>
      </c>
      <c r="I7" s="23" t="n">
        <v>50.1109</v>
      </c>
      <c r="J7" s="23" t="n">
        <v>8.682130000000001</v>
      </c>
      <c r="K7" s="23">
        <f>IF(OR(I7="",J7=""),"",ROUND(6371*ACOS(MIN(1,SIN(RADIANS($I$4))*SIN(RADIANS(I7))+COS(RADIANS($I$4))*COS(RADIANS(I7))*COS(RADIANS(J7-$J$4)))),0))</f>
        <v/>
      </c>
      <c r="L7" s="22" t="inlineStr">
        <is>
          <t>Listed as Austria; IP geolocates to Frankfurt, DE</t>
        </is>
      </c>
      <c r="M7" s="20" t="inlineStr">
        <is>
          <t xml:space="preserve">   • Read off City, Country, Latitude, Longitude.</t>
        </is>
      </c>
    </row>
    <row r="8" ht="21.75" customHeight="1" s="13">
      <c r="A8" s="21" t="n">
        <v>4</v>
      </c>
      <c r="B8" s="22" t="inlineStr">
        <is>
          <t>rychlost.poda.cz</t>
        </is>
      </c>
      <c r="C8" s="23" t="inlineStr">
        <is>
          <t>85.135.13.2</t>
        </is>
      </c>
      <c r="D8" s="21" t="inlineStr">
        <is>
          <t>Czech Republic</t>
        </is>
      </c>
      <c r="E8" s="21" t="inlineStr">
        <is>
          <t>UDP</t>
        </is>
      </c>
      <c r="F8" s="21" t="n">
        <v>23</v>
      </c>
      <c r="G8" s="23" t="inlineStr">
        <is>
          <t>Ostrava</t>
        </is>
      </c>
      <c r="H8" s="23" t="inlineStr">
        <is>
          <t>Czechia</t>
        </is>
      </c>
      <c r="I8" s="23" t="n">
        <v>49.8314</v>
      </c>
      <c r="J8" s="23" t="n">
        <v>18.2776</v>
      </c>
      <c r="K8" s="23">
        <f>IF(OR(I8="",J8=""),"",ROUND(6371*ACOS(MIN(1,SIN(RADIANS($I$4))*SIN(RADIANS(I8))+COS(RADIANS($I$4))*COS(RADIANS(I8))*COS(RADIANS(J8-$J$4)))),0))</f>
        <v/>
      </c>
      <c r="L8" s="22" t="n"/>
      <c r="M8" s="20" t="n"/>
    </row>
    <row r="9" ht="21.75" customHeight="1" s="13">
      <c r="A9" s="21" t="n">
        <v>5</v>
      </c>
      <c r="B9" s="22" t="inlineStr">
        <is>
          <t>spd-fisrv.hostkey.com</t>
        </is>
      </c>
      <c r="C9" s="23" t="inlineStr">
        <is>
          <t>212.237.217.41</t>
        </is>
      </c>
      <c r="D9" s="21" t="inlineStr">
        <is>
          <t>Finland</t>
        </is>
      </c>
      <c r="E9" s="21" t="inlineStr">
        <is>
          <t>ICMP</t>
        </is>
      </c>
      <c r="F9" s="21" t="n">
        <v>19</v>
      </c>
      <c r="G9" s="23" t="inlineStr">
        <is>
          <t>Helsinki</t>
        </is>
      </c>
      <c r="H9" s="23" t="inlineStr">
        <is>
          <t>Finland</t>
        </is>
      </c>
      <c r="I9" s="23" t="n">
        <v>60.1699</v>
      </c>
      <c r="J9" s="23" t="n">
        <v>24.9384</v>
      </c>
      <c r="K9" s="23">
        <f>IF(OR(I9="",J9=""),"",ROUND(6371*ACOS(MIN(1,SIN(RADIANS($I$4))*SIN(RADIANS(I9))+COS(RADIANS($I$4))*COS(RADIANS(I9))*COS(RADIANS(J9-$J$4)))),0))</f>
        <v/>
      </c>
      <c r="L9" s="22" t="n"/>
      <c r="M9" s="20" t="inlineStr">
        <is>
          <t>2. Fill the YELLOW cells (IP, City, Country, Lat, Lon) for rows 5–14.</t>
        </is>
      </c>
    </row>
    <row r="10" ht="21.75" customHeight="1" s="13">
      <c r="A10" s="21" t="n">
        <v>6</v>
      </c>
      <c r="B10" s="22" t="inlineStr">
        <is>
          <t>speed.itgate.net</t>
        </is>
      </c>
      <c r="C10" s="23" t="inlineStr">
        <is>
          <t>213.212.129.36</t>
        </is>
      </c>
      <c r="D10" s="21" t="inlineStr">
        <is>
          <t>Italy</t>
        </is>
      </c>
      <c r="E10" s="21" t="inlineStr">
        <is>
          <t>ICMP</t>
        </is>
      </c>
      <c r="F10" s="21" t="n">
        <v>22</v>
      </c>
      <c r="G10" s="23" t="inlineStr">
        <is>
          <t>Milan</t>
        </is>
      </c>
      <c r="H10" s="23" t="inlineStr">
        <is>
          <t>Italy</t>
        </is>
      </c>
      <c r="I10" s="23" t="n">
        <v>45.4642</v>
      </c>
      <c r="J10" s="23" t="n">
        <v>9.18998</v>
      </c>
      <c r="K10" s="23">
        <f>IF(OR(I10="",J10=""),"",ROUND(6371*ACOS(MIN(1,SIN(RADIANS($I$4))*SIN(RADIANS(I10))+COS(RADIANS($I$4))*COS(RADIANS(I10))*COS(RADIANS(J10-$J$4)))),0))</f>
        <v/>
      </c>
      <c r="L10" s="22" t="n"/>
      <c r="M10" s="20" t="inlineStr">
        <is>
          <t xml:space="preserve">   The GREEN column (Distance km) updates automatically via the Haversine formula.</t>
        </is>
      </c>
    </row>
    <row r="11" ht="21.75" customHeight="1" s="13">
      <c r="A11" s="21" t="n">
        <v>7</v>
      </c>
      <c r="B11" s="22" t="inlineStr">
        <is>
          <t>porto.speedtest.net.zon.pt</t>
        </is>
      </c>
      <c r="C11" s="23" t="inlineStr">
        <is>
          <t>95.95.252.95</t>
        </is>
      </c>
      <c r="D11" s="21" t="inlineStr">
        <is>
          <t>Portugal</t>
        </is>
      </c>
      <c r="E11" s="21" t="inlineStr">
        <is>
          <t>ICMP</t>
        </is>
      </c>
      <c r="F11" s="21" t="n">
        <v>15</v>
      </c>
      <c r="G11" s="23" t="inlineStr">
        <is>
          <t>Lisbon</t>
        </is>
      </c>
      <c r="H11" s="23" t="inlineStr">
        <is>
          <t>Portugal</t>
        </is>
      </c>
      <c r="I11" s="23" t="n">
        <v>38.7599</v>
      </c>
      <c r="J11" s="23" t="n">
        <v>-9.15765</v>
      </c>
      <c r="K11" s="23">
        <f>IF(OR(I11="",J11=""),"",ROUND(6371*ACOS(MIN(1,SIN(RADIANS($I$4))*SIN(RADIANS(I11))+COS(RADIANS($I$4))*COS(RADIANS(I11))*COS(RADIANS(J11-$J$4)))),0))</f>
        <v/>
      </c>
      <c r="L11" s="22" t="inlineStr">
        <is>
          <t>Hostname "porto" but IP geolocates to Lisbon</t>
        </is>
      </c>
      <c r="M11" s="20" t="n"/>
    </row>
    <row r="12" ht="21.75" customHeight="1" s="13">
      <c r="A12" s="21" t="n">
        <v>8</v>
      </c>
      <c r="B12" s="22" t="inlineStr">
        <is>
          <t>speedtest.masnet.ec</t>
        </is>
      </c>
      <c r="C12" s="23" t="inlineStr">
        <is>
          <t>170.83.216.19</t>
        </is>
      </c>
      <c r="D12" s="21" t="inlineStr">
        <is>
          <t>Ecuador</t>
        </is>
      </c>
      <c r="E12" s="21" t="inlineStr">
        <is>
          <t>UDP</t>
        </is>
      </c>
      <c r="F12" s="21" t="n">
        <v>26</v>
      </c>
      <c r="G12" s="23" t="inlineStr">
        <is>
          <t>Santa Ana (Cuenca)</t>
        </is>
      </c>
      <c r="H12" s="23" t="inlineStr">
        <is>
          <t>Ecuador</t>
        </is>
      </c>
      <c r="I12" s="23" t="n">
        <v>-2.94017</v>
      </c>
      <c r="J12" s="23" t="n">
        <v>-78.92</v>
      </c>
      <c r="K12" s="23">
        <f>IF(OR(I12="",J12=""),"",ROUND(6371*ACOS(MIN(1,SIN(RADIANS($I$4))*SIN(RADIANS(I12))+COS(RADIANS($I$4))*COS(RADIANS(I12))*COS(RADIANS(J12-$J$4)))),0))</f>
        <v/>
      </c>
      <c r="L12" s="22" t="n"/>
      <c r="M12" s="20" t="inlineStr">
        <is>
          <t>3. To get the destination IP on macOS:</t>
        </is>
      </c>
    </row>
    <row r="13" ht="21.75" customHeight="1" s="13">
      <c r="A13" s="21" t="n">
        <v>9</v>
      </c>
      <c r="B13" s="22" t="inlineStr">
        <is>
          <t>dal.speedtest.clouvider.net</t>
        </is>
      </c>
      <c r="C13" s="23" t="inlineStr">
        <is>
          <t>2.56.188.136</t>
        </is>
      </c>
      <c r="D13" s="21" t="inlineStr">
        <is>
          <t>USA (Dallas)</t>
        </is>
      </c>
      <c r="E13" s="21" t="inlineStr">
        <is>
          <t>UDP</t>
        </is>
      </c>
      <c r="F13" s="21" t="n">
        <v>19</v>
      </c>
      <c r="G13" s="23" t="inlineStr">
        <is>
          <t>Dallas</t>
        </is>
      </c>
      <c r="H13" s="23" t="inlineStr">
        <is>
          <t>United States</t>
        </is>
      </c>
      <c r="I13" s="23" t="n">
        <v>32.7892</v>
      </c>
      <c r="J13" s="23" t="n">
        <v>-96.82170000000001</v>
      </c>
      <c r="K13" s="23">
        <f>IF(OR(I13="",J13=""),"",ROUND(6371*ACOS(MIN(1,SIN(RADIANS($I$4))*SIN(RADIANS(I13))+COS(RADIANS($I$4))*COS(RADIANS(I13))*COS(RADIANS(J13-$J$4)))),0))</f>
        <v/>
      </c>
      <c r="L13" s="22" t="n"/>
      <c r="M13" s="20" t="inlineStr">
        <is>
          <t xml:space="preserve">     dig +short &lt;hostname&gt;      (or)      host &lt;hostname&gt;</t>
        </is>
      </c>
    </row>
    <row r="14" ht="21.75" customHeight="1" s="13">
      <c r="A14" s="21" t="n">
        <v>10</v>
      </c>
      <c r="B14" s="22" t="inlineStr">
        <is>
          <t>iperf.he.net</t>
        </is>
      </c>
      <c r="C14" s="23" t="inlineStr">
        <is>
          <t>216.218.207.42</t>
        </is>
      </c>
      <c r="D14" s="21" t="inlineStr">
        <is>
          <t>USA (Fremont, CA) — Hurricane Electric</t>
        </is>
      </c>
      <c r="E14" s="21" t="inlineStr">
        <is>
          <t>UDP</t>
        </is>
      </c>
      <c r="F14" s="21" t="n">
        <v>21</v>
      </c>
      <c r="G14" s="23" t="inlineStr">
        <is>
          <t>Fremont</t>
        </is>
      </c>
      <c r="H14" s="23" t="inlineStr">
        <is>
          <t>United States</t>
        </is>
      </c>
      <c r="I14" s="23" t="n">
        <v>37.49</v>
      </c>
      <c r="J14" s="23" t="n">
        <v>-121.931</v>
      </c>
      <c r="K14" s="23">
        <f>IF(OR(I14="",J14=""),"",ROUND(6371*ACOS(MIN(1,SIN(RADIANS($I$4))*SIN(RADIANS(I14))+COS(RADIANS($I$4))*COS(RADIANS(I14))*COS(RADIANS(J14-$J$4)))),0))</f>
        <v/>
      </c>
      <c r="L14" s="22" t="inlineStr">
        <is>
          <t>Hurricane Electric (replaced Auckland; iperf service still live)</t>
        </is>
      </c>
      <c r="M14" s="20" t="n"/>
    </row>
    <row r="15" ht="16.5" customHeight="1" s="13">
      <c r="M15" s="20" t="inlineStr">
        <is>
          <t>4. After all rows are filled, build a scatter plot:</t>
        </is>
      </c>
    </row>
    <row r="16" ht="16.5" customHeight="1" s="13">
      <c r="M16" s="20" t="inlineStr">
        <is>
          <t xml:space="preserve">   • Select K5:K14  (x, distance)  and  F5:F14  (y, hop count).</t>
        </is>
      </c>
    </row>
    <row r="17" ht="20.25" customHeight="1" s="13">
      <c r="A17" s="14" t="inlineStr">
        <is>
          <t>Summary statistics</t>
        </is>
      </c>
      <c r="M17" s="20" t="inlineStr">
        <is>
          <t xml:space="preserve">   • Insert → Chart → Scatter.  Add trendline → linear.  Show R².</t>
        </is>
      </c>
    </row>
    <row r="18" ht="16.5" customHeight="1" s="13">
      <c r="A18" s="24" t="inlineStr">
        <is>
          <t>Average hop count</t>
        </is>
      </c>
      <c r="B18" s="22">
        <f>AVERAGE(F5:F14)</f>
        <v/>
      </c>
      <c r="M18" s="20" t="n"/>
    </row>
    <row r="19" ht="16.5" customHeight="1" s="13">
      <c r="A19" s="24" t="inlineStr">
        <is>
          <t>Median hop count</t>
        </is>
      </c>
      <c r="B19" s="22">
        <f>MEDIAN(F5:F14)</f>
        <v/>
      </c>
      <c r="M19" s="20" t="inlineStr">
        <is>
          <t>5. Pearson r (cell B22) tells you how strongly hops track distance.</t>
        </is>
      </c>
    </row>
    <row r="20" ht="33.75" customHeight="1" s="13">
      <c r="A20" s="24" t="inlineStr">
        <is>
          <t>Min / Max hop count</t>
        </is>
      </c>
      <c r="B20" s="22">
        <f>MIN(F5:F14)&amp;" / "&amp;MAX(F5:F14)</f>
        <v/>
      </c>
      <c r="M20" s="20" t="inlineStr">
        <is>
          <t xml:space="preserve">   Typical expectation:  0.4–0.7  (some correlation, but routing ≠ geometry).</t>
        </is>
      </c>
    </row>
    <row r="21" ht="16.5" customHeight="1" s="13">
      <c r="A21" s="24" t="inlineStr">
        <is>
          <t>Average distance (km)</t>
        </is>
      </c>
      <c r="B21" s="22">
        <f>IFERROR(AVERAGE(K5:K14),"fill lat/lon first")</f>
        <v/>
      </c>
      <c r="M21" s="20" t="n"/>
    </row>
    <row r="22" ht="33.75" customHeight="1" s="13">
      <c r="A22" s="24" t="inlineStr">
        <is>
          <t>Pearson correlation (hops vs km)</t>
        </is>
      </c>
      <c r="B22" s="22">
        <f>IFERROR(CORREL(F5:F14,K5:K14),"fill lat/lon first")</f>
        <v/>
      </c>
      <c r="M22" s="20" t="inlineStr">
        <is>
          <t>Origin note: Melbourne CBD is used instead of a home address</t>
        </is>
      </c>
    </row>
    <row r="23" ht="16.5" customHeight="1" s="13">
      <c r="M23" s="20" t="inlineStr">
        <is>
          <t>so the submitted report does not reveal private location.</t>
        </is>
      </c>
    </row>
    <row r="25" ht="15" customHeight="1" s="13"/>
  </sheetData>
  <mergeCells count="3">
    <mergeCell ref="A2:L2"/>
    <mergeCell ref="A1:L1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2026-04-22T12:11:00Z</dcterms:created>
  <dcterms:modified xmlns:dcterms="http://purl.org/dc/terms/" xmlns:xsi="http://www.w3.org/2001/XMLSchema-instance" xsi:type="dcterms:W3CDTF">2026-04-22T07:53:16Z</dcterms:modified>
  <cp:revision>1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C296FD62515B1F281079E8690F122076_42</vt:lpwstr>
  </property>
  <property name="KSOProductBuildVer" fmtid="{D5CDD505-2E9C-101B-9397-08002B2CF9AE}" pid="4">
    <vt:lpwstr xmlns:vt="http://schemas.openxmlformats.org/officeDocument/2006/docPropsVTypes">2052-12.1.25201.25201</vt:lpwstr>
  </property>
</Properties>
</file>