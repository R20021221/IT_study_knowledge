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ance vs Ho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<sst xmlns="http://schemas.openxmlformats.org/spreadsheetml/2006/main" count="73" uniqueCount="62">
  <si>
    <t xml:space="preserve">COMP90007 Project 1 — Section 2.2  Hop Count vs Geographic Distance</t>
  </si>
  <si>
    <t xml:space="preserve">Origin: Melbourne CBD, Australia (privacy-safe approximation).  Yellow cells = fill in.  Green = auto-computed.</t>
  </si>
  <si>
    <t xml:space="preserve">#</t>
  </si>
  <si>
    <t xml:space="preserve">Hostname</t>
  </si>
  <si>
    <t xml:space="preserve">Destination IP</t>
  </si>
  <si>
    <t xml:space="preserve">Listed Region</t>
  </si>
  <si>
    <t xml:space="preserve">Traceroute Mode</t>
  </si>
  <si>
    <t xml:space="preserve">Hop Count</t>
  </si>
  <si>
    <t xml:space="preserve">Detected City</t>
  </si>
  <si>
    <t xml:space="preserve">Country</t>
  </si>
  <si>
    <t xml:space="preserve">Latitude</t>
  </si>
  <si>
    <t xml:space="preserve">Longitude</t>
  </si>
  <si>
    <t xml:space="preserve">Distance (km)</t>
  </si>
  <si>
    <t xml:space="preserve">Notes</t>
  </si>
  <si>
    <t xml:space="preserve">How to use this sheet</t>
  </si>
  <si>
    <t xml:space="preserve">—</t>
  </si>
  <si>
    <t xml:space="preserve">MY LOCATION (Melbourne CBD)</t>
  </si>
  <si>
    <t xml:space="preserve">Australia</t>
  </si>
  <si>
    <t xml:space="preserve">Melbourne</t>
  </si>
  <si>
    <t xml:space="preserve">Reference point for Haversine distance</t>
  </si>
  <si>
    <t xml:space="preserve">speedtest.awbb.net</t>
  </si>
  <si>
    <t xml:space="preserve">USA</t>
  </si>
  <si>
    <t xml:space="preserve">UDP</t>
  </si>
  <si>
    <t xml:space="preserve">1. Look up each destination's geolocation at  https://db-ip.com/  (free, no login).</t>
  </si>
  <si>
    <t xml:space="preserve">spd-desrv.hostkey.com</t>
  </si>
  <si>
    <t xml:space="preserve">Germany</t>
  </si>
  <si>
    <t xml:space="preserve">ICMP</t>
  </si>
  <si>
    <t xml:space="preserve">   • Paste the hostname or resolved IP into the search box.</t>
  </si>
  <si>
    <t xml:space="preserve">speedtest.wobcom.de</t>
  </si>
  <si>
    <t xml:space="preserve">Austria (listed) / Germany?</t>
  </si>
  <si>
    <t xml:space="preserve">   • Read off City, Country, Latitude, Longitude.</t>
  </si>
  <si>
    <t xml:space="preserve">rychlost.poda.cz</t>
  </si>
  <si>
    <t xml:space="preserve">Czech Republic</t>
  </si>
  <si>
    <t xml:space="preserve">spd-fisrv.hostkey.com</t>
  </si>
  <si>
    <t xml:space="preserve">Finland</t>
  </si>
  <si>
    <t xml:space="preserve">2. Fill the YELLOW cells (IP, City, Country, Lat, Lon) for rows 5–14.</t>
  </si>
  <si>
    <t xml:space="preserve">speed.itgate.net</t>
  </si>
  <si>
    <t xml:space="preserve">Italy</t>
  </si>
  <si>
    <t xml:space="preserve">   The GREEN column (Distance km) updates automatically via the Haversine formula.</t>
  </si>
  <si>
    <t xml:space="preserve">porto.speedtest.net.zon.pt</t>
  </si>
  <si>
    <t xml:space="preserve">Portugal</t>
  </si>
  <si>
    <t xml:space="preserve">speedtest.masnet.ec</t>
  </si>
  <si>
    <t xml:space="preserve">Ecuador</t>
  </si>
  <si>
    <t xml:space="preserve">3. To get the destination IP on macOS:</t>
  </si>
  <si>
    <t xml:space="preserve">dal.speedtest.clouvider.net</t>
  </si>
  <si>
    <t xml:space="preserve">USA (Dallas)</t>
  </si>
  <si>
    <t xml:space="preserve">     dig +short &lt;hostname&gt;      (or)      host &lt;hostname&gt;</t>
  </si>
  <si>
    <t xml:space="preserve">speedtest-iperf-akl.vetta.online</t>
  </si>
  <si>
    <t xml:space="preserve">New Zealand (self-found)</t>
  </si>
  <si>
    <t xml:space="preserve">4. After all rows are filled, build a scatter plot:</t>
  </si>
  <si>
    <t xml:space="preserve">   • Select K5:K14  (x, distance)  and  F5:F14  (y, hop count).</t>
  </si>
  <si>
    <t xml:space="preserve">Summary statistics</t>
  </si>
  <si>
    <t xml:space="preserve">   • Insert → Chart → Scatter.  Add trendline → linear.  Show R².</t>
  </si>
  <si>
    <t xml:space="preserve">Average hop count</t>
  </si>
  <si>
    <t xml:space="preserve">Median hop count</t>
  </si>
  <si>
    <t xml:space="preserve">5. Pearson r (cell B22) tells you how strongly hops track distance.</t>
  </si>
  <si>
    <t xml:space="preserve">Min / Max hop count</t>
  </si>
  <si>
    <t xml:space="preserve">   Typical expectation:  0.4–0.7  (some correlation, but routing ≠ geometry).</t>
  </si>
  <si>
    <t xml:space="preserve">Average distance (km)</t>
  </si>
  <si>
    <t xml:space="preserve">Pearson correlation (hops vs km)</t>
  </si>
  <si>
    <t xml:space="preserve">Origin note: Melbourne CBD is used instead of a home address</t>
  </si>
  <si>
    <t xml:space="preserve">so the submitted report does not reveal private location.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</si>
</sst>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5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4" t="s">
        <v>14</v>
      </c>
    </row>
    <row r="4" customFormat="false" ht="26.85" hidden="false" customHeight="false" outlineLevel="0" collapsed="false">
      <c r="A4" s="5" t="s">
        <v>15</v>
      </c>
      <c r="B4" s="6" t="s">
        <v>16</v>
      </c>
      <c r="C4" s="5" t="s">
        <v>15</v>
      </c>
      <c r="D4" s="5" t="s">
        <v>17</v>
      </c>
      <c r="E4" s="5" t="s">
        <v>15</v>
      </c>
      <c r="F4" s="5" t="n">
        <v>0</v>
      </c>
      <c r="G4" s="5" t="s">
        <v>18</v>
      </c>
      <c r="H4" s="5" t="s">
        <v>17</v>
      </c>
      <c r="I4" s="5" t="n">
        <v>-37.8136</v>
      </c>
      <c r="J4" s="5" t="n">
        <v>144.9631</v>
      </c>
      <c r="K4" s="5" t="n">
        <v>0</v>
      </c>
      <c r="L4" s="6" t="s">
        <v>19</v>
      </c>
      <c r="M4" s="7"/>
    </row>
    <row r="5" customFormat="false" ht="21.75" hidden="false" customHeight="true" outlineLevel="0" collapsed="false">
      <c r="A5" s="8" t="n">
        <v>1</v>
      </c>
      <c r="B5" s="9" t="s">
        <v>20</v>
      </c>
      <c r="C5" s="10"/>
      <c r="D5" s="8" t="s">
        <v>21</v>
      </c>
      <c r="E5" s="8" t="s">
        <v>22</v>
      </c>
      <c r="F5" s="8" t="n">
        <v>23</v>
      </c>
      <c r="G5" s="10"/>
      <c r="H5" s="10"/>
      <c r="I5" s="10"/>
      <c r="J5" s="10"/>
      <c r="K5" s="11" t="str">
        <f aca="false">IF(OR(I5="",J5=""),"",ROUND(6371*ACOS(MIN(1,SIN(RADIANS($I$4))*SIN(RADIANS(I5))+COS(RADIANS($I$4))*COS(RADIANS(I5))*COS(RADIANS(J5-$J$4)))),0))</f>
        <v/>
      </c>
      <c r="L5" s="9"/>
      <c r="M5" s="7" t="s">
        <v>23</v>
      </c>
    </row>
    <row r="6" customFormat="false" ht="21.75" hidden="false" customHeight="true" outlineLevel="0" collapsed="false">
      <c r="A6" s="8" t="n">
        <v>2</v>
      </c>
      <c r="B6" s="9" t="s">
        <v>24</v>
      </c>
      <c r="C6" s="10"/>
      <c r="D6" s="8" t="s">
        <v>25</v>
      </c>
      <c r="E6" s="8" t="s">
        <v>26</v>
      </c>
      <c r="F6" s="8" t="n">
        <v>20</v>
      </c>
      <c r="G6" s="10"/>
      <c r="H6" s="10"/>
      <c r="I6" s="10"/>
      <c r="J6" s="10"/>
      <c r="K6" s="11" t="str">
        <f aca="false">IF(OR(I6="",J6=""),"",ROUND(6371*ACOS(MIN(1,SIN(RADIANS($I$4))*SIN(RADIANS(I6))+COS(RADIANS($I$4))*COS(RADIANS(I6))*COS(RADIANS(J6-$J$4)))),0))</f>
        <v/>
      </c>
      <c r="L6" s="9"/>
      <c r="M6" s="7" t="s">
        <v>27</v>
      </c>
    </row>
    <row r="7" customFormat="false" ht="21.75" hidden="false" customHeight="true" outlineLevel="0" collapsed="false">
      <c r="A7" s="8" t="n">
        <v>3</v>
      </c>
      <c r="B7" s="9" t="s">
        <v>28</v>
      </c>
      <c r="C7" s="10"/>
      <c r="D7" s="8" t="s">
        <v>29</v>
      </c>
      <c r="E7" s="8" t="s">
        <v>26</v>
      </c>
      <c r="F7" s="8" t="n">
        <v>16</v>
      </c>
      <c r="G7" s="10"/>
      <c r="H7" s="10"/>
      <c r="I7" s="10"/>
      <c r="J7" s="10"/>
      <c r="K7" s="11" t="str">
        <f aca="false">IF(OR(I7="",J7=""),"",ROUND(6371*ACOS(MIN(1,SIN(RADIANS($I$4))*SIN(RADIANS(I7))+COS(RADIANS($I$4))*COS(RADIANS(I7))*COS(RADIANS(J7-$J$4)))),0))</f>
        <v/>
      </c>
      <c r="L7" s="9"/>
      <c r="M7" s="7" t="s">
        <v>30</v>
      </c>
    </row>
    <row r="8" customFormat="false" ht="21.75" hidden="false" customHeight="true" outlineLevel="0" collapsed="false">
      <c r="A8" s="8" t="n">
        <v>4</v>
      </c>
      <c r="B8" s="9" t="s">
        <v>31</v>
      </c>
      <c r="C8" s="10"/>
      <c r="D8" s="8" t="s">
        <v>32</v>
      </c>
      <c r="E8" s="8" t="s">
        <v>22</v>
      </c>
      <c r="F8" s="8" t="n">
        <v>23</v>
      </c>
      <c r="G8" s="10"/>
      <c r="H8" s="10"/>
      <c r="I8" s="10"/>
      <c r="J8" s="10"/>
      <c r="K8" s="11" t="str">
        <f aca="false">IF(OR(I8="",J8=""),"",ROUND(6371*ACOS(MIN(1,SIN(RADIANS($I$4))*SIN(RADIANS(I8))+COS(RADIANS($I$4))*COS(RADIANS(I8))*COS(RADIANS(J8-$J$4)))),0))</f>
        <v/>
      </c>
      <c r="L8" s="9"/>
      <c r="M8" s="7"/>
    </row>
    <row r="9" customFormat="false" ht="21.75" hidden="false" customHeight="true" outlineLevel="0" collapsed="false">
      <c r="A9" s="8" t="n">
        <v>5</v>
      </c>
      <c r="B9" s="9" t="s">
        <v>33</v>
      </c>
      <c r="C9" s="10"/>
      <c r="D9" s="8" t="s">
        <v>34</v>
      </c>
      <c r="E9" s="8" t="s">
        <v>26</v>
      </c>
      <c r="F9" s="8" t="n">
        <v>19</v>
      </c>
      <c r="G9" s="10"/>
      <c r="H9" s="10"/>
      <c r="I9" s="10"/>
      <c r="J9" s="10"/>
      <c r="K9" s="11" t="str">
        <f aca="false">IF(OR(I9="",J9=""),"",ROUND(6371*ACOS(MIN(1,SIN(RADIANS($I$4))*SIN(RADIANS(I9))+COS(RADIANS($I$4))*COS(RADIANS(I9))*COS(RADIANS(J9-$J$4)))),0))</f>
        <v/>
      </c>
      <c r="L9" s="9"/>
      <c r="M9" s="7" t="s">
        <v>35</v>
      </c>
    </row>
    <row r="10" customFormat="false" ht="21.75" hidden="false" customHeight="true" outlineLevel="0" collapsed="false">
      <c r="A10" s="8" t="n">
        <v>6</v>
      </c>
      <c r="B10" s="9" t="s">
        <v>36</v>
      </c>
      <c r="C10" s="10"/>
      <c r="D10" s="8" t="s">
        <v>37</v>
      </c>
      <c r="E10" s="8" t="s">
        <v>26</v>
      </c>
      <c r="F10" s="8" t="n">
        <v>22</v>
      </c>
      <c r="G10" s="10"/>
      <c r="H10" s="10"/>
      <c r="I10" s="10"/>
      <c r="J10" s="10"/>
      <c r="K10" s="11" t="str">
        <f aca="false">IF(OR(I10="",J10=""),"",ROUND(6371*ACOS(MIN(1,SIN(RADIANS($I$4))*SIN(RADIANS(I10))+COS(RADIANS($I$4))*COS(RADIANS(I10))*COS(RADIANS(J10-$J$4)))),0))</f>
        <v/>
      </c>
      <c r="L10" s="9"/>
      <c r="M10" s="7" t="s">
        <v>38</v>
      </c>
    </row>
    <row r="11" customFormat="false" ht="21.75" hidden="false" customHeight="true" outlineLevel="0" collapsed="false">
      <c r="A11" s="8" t="n">
        <v>7</v>
      </c>
      <c r="B11" s="9" t="s">
        <v>39</v>
      </c>
      <c r="C11" s="10"/>
      <c r="D11" s="8" t="s">
        <v>40</v>
      </c>
      <c r="E11" s="8" t="s">
        <v>26</v>
      </c>
      <c r="F11" s="8" t="n">
        <v>15</v>
      </c>
      <c r="G11" s="10"/>
      <c r="H11" s="10"/>
      <c r="I11" s="10"/>
      <c r="J11" s="10"/>
      <c r="K11" s="11" t="str">
        <f aca="false">IF(OR(I11="",J11=""),"",ROUND(6371*ACOS(MIN(1,SIN(RADIANS($I$4))*SIN(RADIANS(I11))+COS(RADIANS($I$4))*COS(RADIANS(I11))*COS(RADIANS(J11-$J$4)))),0))</f>
        <v/>
      </c>
      <c r="L11" s="9"/>
      <c r="M11" s="7"/>
    </row>
    <row r="12" customFormat="false" ht="21.75" hidden="false" customHeight="true" outlineLevel="0" collapsed="false">
      <c r="A12" s="8" t="n">
        <v>8</v>
      </c>
      <c r="B12" s="9" t="s">
        <v>41</v>
      </c>
      <c r="C12" s="10"/>
      <c r="D12" s="8" t="s">
        <v>42</v>
      </c>
      <c r="E12" s="8" t="s">
        <v>22</v>
      </c>
      <c r="F12" s="8" t="n">
        <v>26</v>
      </c>
      <c r="G12" s="10"/>
      <c r="H12" s="10"/>
      <c r="I12" s="10"/>
      <c r="J12" s="10"/>
      <c r="K12" s="11" t="str">
        <f aca="false">IF(OR(I12="",J12=""),"",ROUND(6371*ACOS(MIN(1,SIN(RADIANS($I$4))*SIN(RADIANS(I12))+COS(RADIANS($I$4))*COS(RADIANS(I12))*COS(RADIANS(J12-$J$4)))),0))</f>
        <v/>
      </c>
      <c r="L12" s="9"/>
      <c r="M12" s="7" t="s">
        <v>43</v>
      </c>
    </row>
    <row r="13" customFormat="false" ht="21.75" hidden="false" customHeight="true" outlineLevel="0" collapsed="false">
      <c r="A13" s="8" t="n">
        <v>9</v>
      </c>
      <c r="B13" s="9" t="s">
        <v>44</v>
      </c>
      <c r="C13" s="10"/>
      <c r="D13" s="8" t="s">
        <v>45</v>
      </c>
      <c r="E13" s="8" t="s">
        <v>22</v>
      </c>
      <c r="F13" s="8" t="n">
        <v>19</v>
      </c>
      <c r="G13" s="10"/>
      <c r="H13" s="10"/>
      <c r="I13" s="10"/>
      <c r="J13" s="10"/>
      <c r="K13" s="11" t="str">
        <f aca="false">IF(OR(I13="",J13=""),"",ROUND(6371*ACOS(MIN(1,SIN(RADIANS($I$4))*SIN(RADIANS(I13))+COS(RADIANS($I$4))*COS(RADIANS(I13))*COS(RADIANS(J13-$J$4)))),0))</f>
        <v/>
      </c>
      <c r="L13" s="9"/>
      <c r="M13" s="7" t="s">
        <v>46</v>
      </c>
    </row>
    <row r="14" customFormat="false" ht="21.75" hidden="false" customHeight="true" outlineLevel="0" collapsed="false">
      <c r="A14" s="8" t="n">
        <v>10</v>
      </c>
      <c r="B14" s="9" t="s">
        <v>47</v>
      </c>
      <c r="C14" s="10"/>
      <c r="D14" s="8" t="s">
        <v>48</v>
      </c>
      <c r="E14" s="8" t="s">
        <v>26</v>
      </c>
      <c r="F14" s="8" t="n">
        <v>12</v>
      </c>
      <c r="G14" s="10"/>
      <c r="H14" s="10"/>
      <c r="I14" s="10"/>
      <c r="J14" s="10"/>
      <c r="K14" s="11" t="str">
        <f aca="false">IF(OR(I14="",J14=""),"",ROUND(6371*ACOS(MIN(1,SIN(RADIANS($I$4))*SIN(RADIANS(I14))+COS(RADIANS($I$4))*COS(RADIANS(I14))*COS(RADIANS(J14-$J$4)))),0))</f>
        <v/>
      </c>
      <c r="L14" s="9"/>
      <c r="M14" s="7"/>
    </row>
    <row r="15" customFormat="false" ht="15" hidden="false" customHeight="false" outlineLevel="0" collapsed="false">
      <c r="M15" s="7" t="s">
        <v>49</v>
      </c>
    </row>
    <row r="16" customFormat="false" ht="26.85" hidden="false" customHeight="false" outlineLevel="0" collapsed="false">
      <c r="M16" s="7" t="s">
        <v>50</v>
      </c>
    </row>
    <row r="17" customFormat="false" ht="26.85" hidden="false" customHeight="false" outlineLevel="0" collapsed="false">
      <c r="A17" s="1" t="s">
        <v>51</v>
      </c>
      <c r="B17" s="1"/>
      <c r="C17" s="1"/>
      <c r="D17" s="1"/>
      <c r="M17" s="7" t="s">
        <v>52</v>
      </c>
    </row>
    <row r="18" customFormat="false" ht="15" hidden="false" customHeight="false" outlineLevel="0" collapsed="false">
      <c r="A18" s="12" t="s">
        <v>53</v>
      </c>
      <c r="B18" s="9" t="n">
        <f aca="false">AVERAGE(F5:F14)</f>
        <v>19.5</v>
      </c>
      <c r="M18" s="7"/>
    </row>
    <row r="19" customFormat="false" ht="26.85" hidden="false" customHeight="false" outlineLevel="0" collapsed="false">
      <c r="A19" s="12" t="s">
        <v>54</v>
      </c>
      <c r="B19" s="9" t="n">
        <f aca="false">MEDIAN(F5:F14)</f>
        <v>19.5</v>
      </c>
      <c r="M19" s="7" t="s">
        <v>55</v>
      </c>
    </row>
    <row r="20" customFormat="false" ht="26.85" hidden="false" customHeight="false" outlineLevel="0" collapsed="false">
      <c r="A20" s="12" t="s">
        <v>56</v>
      </c>
      <c r="B20" s="9" t="str">
        <f aca="false">MIN(F5:F14) &amp; " / " &amp; MAX(F5:F14)</f>
        <v>12 / 26</v>
      </c>
      <c r="M20" s="7" t="s">
        <v>57</v>
      </c>
    </row>
    <row r="21" customFormat="false" ht="15" hidden="false" customHeight="false" outlineLevel="0" collapsed="false">
      <c r="A21" s="12" t="s">
        <v>58</v>
      </c>
      <c r="B21" s="9" t="str">
        <f aca="false">IFERROR(AVERAGE(K5:K14),"fill lat/lon first")</f>
        <v>fill lat/lon first</v>
      </c>
      <c r="M21" s="7"/>
    </row>
    <row r="22" customFormat="false" ht="26.85" hidden="false" customHeight="false" outlineLevel="0" collapsed="false">
      <c r="A22" s="12" t="s">
        <v>59</v>
      </c>
      <c r="B22" s="9" t="str">
        <f aca="false">IFERROR(CORREL(F5:F14,K5:K14),"fill lat/lon first")</f>
        <v>fill lat/lon first</v>
      </c>
      <c r="M22" s="7" t="s">
        <v>60</v>
      </c>
    </row>
    <row r="23" customFormat="false" ht="15" hidden="false" customHeight="false" outlineLevel="0" collapsed="false">
      <c r="M23" s="7" t="s">
        <v>61</v>
      </c>
    </row>
  </sheetData>
  <mergeCells count="3">
    <mergeCell ref="A1:L1"/>
    <mergeCell ref="A2:L2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2026-04-21T16:11:26Z</dcterms:created>
  <dc:creator>openpyxl</dc:creator>
  <dc:description/>
  <dc:language>en-US</dc:language>
  <cp:lastModifiedBy/>
  <dcterms:modified xsi:type="dcterms:W3CDTF">2026-04-21T16:11:26Z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