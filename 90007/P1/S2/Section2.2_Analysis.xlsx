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TUDY\IT_study_knowledge\90007\P1\S2\"/>
    </mc:Choice>
  </mc:AlternateContent>
  <xr:revisionPtr revIDLastSave="0" documentId="13_ncr:1_{9860FA48-21AF-48DC-8530-64D35477DE14}" xr6:coauthVersionLast="47" xr6:coauthVersionMax="47" xr10:uidLastSave="{00000000-0000-0000-0000-000000000000}"/>
  <bookViews>
    <workbookView xWindow="0" yWindow="360" windowWidth="30936" windowHeight="16776" tabRatio="500" xr2:uid="{00000000-000D-0000-FFFF-FFFF00000000}"/>
  </bookViews>
  <sheets>
    <sheet name="Distance vs Hop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" l="1"/>
  <c r="B21" i="1" s="1"/>
  <c r="B20" i="1"/>
  <c r="B19" i="1"/>
  <c r="B18" i="1"/>
  <c r="K13" i="1"/>
  <c r="K12" i="1"/>
  <c r="K11" i="1"/>
  <c r="K10" i="1"/>
  <c r="K9" i="1"/>
  <c r="K8" i="1"/>
  <c r="K7" i="1"/>
  <c r="K6" i="1"/>
  <c r="K5" i="1"/>
  <c r="B22" i="1" l="1"/>
</calcChain>
</file>

<file path=xl/sharedStrings.xml><?xml version="1.0" encoding="utf-8"?>
<sst xmlns="http://schemas.openxmlformats.org/spreadsheetml/2006/main" count="106" uniqueCount="87">
  <si>
    <t>COMP90007 Project 1 — Section 2.2  Hop Count vs Geographic Distance</t>
  </si>
  <si>
    <t>Origin: Melbourne CBD, Australia (privacy-safe approximation).  Yellow cells = fill in.  Green = auto-computed.</t>
  </si>
  <si>
    <t>#</t>
  </si>
  <si>
    <t>Hostname</t>
  </si>
  <si>
    <t>Destination IP</t>
  </si>
  <si>
    <t>Listed Region</t>
  </si>
  <si>
    <t>Traceroute Mode</t>
  </si>
  <si>
    <t>Hop Count</t>
  </si>
  <si>
    <t>Detected City</t>
  </si>
  <si>
    <t>Country</t>
  </si>
  <si>
    <t>Latitude</t>
  </si>
  <si>
    <t>Longitude</t>
  </si>
  <si>
    <t>Distance (km)</t>
  </si>
  <si>
    <t>Notes</t>
  </si>
  <si>
    <t>How to use this sheet</t>
  </si>
  <si>
    <t>Origin</t>
  </si>
  <si>
    <t>MY LOCATION (Melbourne CBD)</t>
  </si>
  <si>
    <t>—</t>
  </si>
  <si>
    <t>Australia</t>
  </si>
  <si>
    <t>Melbourne</t>
  </si>
  <si>
    <t>Reference point for Haversine distance</t>
  </si>
  <si>
    <t>speedtest.awbb.net</t>
  </si>
  <si>
    <t>104.245.79.230</t>
  </si>
  <si>
    <t>USA</t>
  </si>
  <si>
    <t>UDP</t>
  </si>
  <si>
    <t>Floydada</t>
  </si>
  <si>
    <t>United States</t>
  </si>
  <si>
    <t>1. Look up each destination's geolocation at  https://db-ip.com/  (free, no login).</t>
  </si>
  <si>
    <t>spd-desrv.hostkey.com</t>
  </si>
  <si>
    <t>185.84.224.68</t>
  </si>
  <si>
    <t>Germany</t>
  </si>
  <si>
    <t>ICMP</t>
  </si>
  <si>
    <t>Frankfurt am Main</t>
  </si>
  <si>
    <t xml:space="preserve">   • Paste the hostname or resolved IP into the search box.</t>
  </si>
  <si>
    <t>speedtest.wobcom.de</t>
  </si>
  <si>
    <t>62.176.224.217</t>
  </si>
  <si>
    <t>Austria (listed) / Germany?</t>
  </si>
  <si>
    <t>Listed as Austria; IP geolocates to Frankfurt, DE</t>
  </si>
  <si>
    <t xml:space="preserve">   • Read off City, Country, Latitude, Longitude.</t>
  </si>
  <si>
    <t>rychlost.poda.cz</t>
  </si>
  <si>
    <t>85.135.13.2</t>
  </si>
  <si>
    <t>Czech Republic</t>
  </si>
  <si>
    <t>Ostrava</t>
  </si>
  <si>
    <t>Czechia</t>
  </si>
  <si>
    <t>spd-fisrv.hostkey.com</t>
  </si>
  <si>
    <t>212.237.217.41</t>
  </si>
  <si>
    <t>Finland</t>
  </si>
  <si>
    <t>Helsinki</t>
  </si>
  <si>
    <t>2. Fill the YELLOW cells (IP, City, Country, Lat, Lon) for rows 5–14.</t>
  </si>
  <si>
    <t>speed.itgate.net</t>
  </si>
  <si>
    <t>213.212.129.36</t>
  </si>
  <si>
    <t>Italy</t>
  </si>
  <si>
    <t>Milan</t>
  </si>
  <si>
    <t xml:space="preserve">   The GREEN column (Distance km) updates automatically via the Haversine formula.</t>
  </si>
  <si>
    <t>95.95.252.95</t>
  </si>
  <si>
    <t>Portugal</t>
  </si>
  <si>
    <t>Lisbon</t>
  </si>
  <si>
    <t>Hostname "porto" but IP geolocates to Lisbon</t>
  </si>
  <si>
    <t>170.83.216.19</t>
  </si>
  <si>
    <t>Ecuador</t>
  </si>
  <si>
    <t>Santa Ana (Cuenca)</t>
  </si>
  <si>
    <t>3. To get the destination IP on macOS:</t>
  </si>
  <si>
    <t>dal.speedtest.clouvider.net</t>
  </si>
  <si>
    <t>2.56.188.136</t>
  </si>
  <si>
    <t>USA (Dallas)</t>
  </si>
  <si>
    <t>Dallas</t>
  </si>
  <si>
    <t xml:space="preserve">     dig +short &lt;hostname&gt;      (or)      host &lt;hostname&gt;</t>
  </si>
  <si>
    <t>216.218.207.42</t>
  </si>
  <si>
    <t>USA (Fremont, CA) — Hurricane Electric</t>
  </si>
  <si>
    <t>Fremont</t>
  </si>
  <si>
    <t>Hurricane Electric (replaced Auckland; iperf service still live)</t>
  </si>
  <si>
    <t>4. After all rows are filled, build a scatter plot:</t>
  </si>
  <si>
    <t xml:space="preserve">   • Select K5:K14  (x, distance)  and  F5:F14  (y, hop count).</t>
  </si>
  <si>
    <t>Summary statistics</t>
  </si>
  <si>
    <t xml:space="preserve">   • Insert → Chart → Scatter.  Add trendline → linear.  Show R².</t>
  </si>
  <si>
    <t>Average hop count</t>
  </si>
  <si>
    <t>Median hop count</t>
  </si>
  <si>
    <t>5. Pearson r (cell B22) tells you how strongly hops track distance.</t>
  </si>
  <si>
    <t>Min / Max hop count</t>
  </si>
  <si>
    <t xml:space="preserve">   Typical expectation:  0.4–0.7  (some correlation, but routing ≠ geometry).</t>
  </si>
  <si>
    <t>Average distance (km)</t>
  </si>
  <si>
    <t>Pearson correlation (hops vs km)</t>
  </si>
  <si>
    <t>Origin note: Melbourne CBD is used instead of a home address</t>
  </si>
  <si>
    <t>so the submitted report does not reveal private location.</t>
  </si>
  <si>
    <t>iperf.he.net</t>
    <phoneticPr fontId="6" type="noConversion"/>
  </si>
  <si>
    <t>speedtest.masnet.ec</t>
    <phoneticPr fontId="6" type="noConversion"/>
  </si>
  <si>
    <t>porto.speedtest.net.zon.pt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</si>
</sst>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charset val="1"/>
    </font>
    <font>
      <b/>
      <sz val="14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9"/>
      <name val="宋体"/>
      <family val="3"/>
      <charset val="134"/>
    </font>
    <font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FFF2CC"/>
        <bgColor rgb="FFE2EFDA"/>
      </patternFill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  <xf numFmtId="0" fontId="7" fillId="0" borderId="1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Hop Count vs Geographic Distance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Servers</c:v>
          </c:tx>
          <c:spPr>
            <a:ln w="12600">
              <a:noFill/>
              <a:prstDash val="solid"/>
            </a:ln>
          </c:spPr>
          <c:marker>
            <c:symbol val="circle"/>
            <c:size val="8"/>
            <c:spPr>
              <a:solidFill>
                <a:srgbClr val="30549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w="0">
                <a:solidFill>
                  <a:srgbClr val="000000"/>
                </a:solidFill>
                <a:prstDash val="solid"/>
              </a:ln>
            </c:spPr>
            <c:trendlineType val="linear"/>
            <c:dispRSqr val="1"/>
            <c:dispEq val="0"/>
            <c:trendlineLbl>
              <c:numFmt formatCode="General" sourceLinked="0"/>
            </c:trendlineLbl>
          </c:trendline>
          <c:xVal>
            <c:numRef>
              <c:f>'Distance vs Hops'!$K$5:$K$14</c:f>
              <c:numCache>
                <c:formatCode>General</c:formatCode>
                <c:ptCount val="10"/>
                <c:pt idx="0">
                  <c:v>14155</c:v>
                </c:pt>
                <c:pt idx="1">
                  <c:v>16321</c:v>
                </c:pt>
                <c:pt idx="2">
                  <c:v>16321</c:v>
                </c:pt>
                <c:pt idx="3">
                  <c:v>15636</c:v>
                </c:pt>
                <c:pt idx="4">
                  <c:v>15207</c:v>
                </c:pt>
                <c:pt idx="5">
                  <c:v>16292</c:v>
                </c:pt>
                <c:pt idx="6">
                  <c:v>17761</c:v>
                </c:pt>
                <c:pt idx="7">
                  <c:v>13621</c:v>
                </c:pt>
                <c:pt idx="8">
                  <c:v>14482</c:v>
                </c:pt>
                <c:pt idx="9">
                  <c:v>12679</c:v>
                </c:pt>
              </c:numCache>
            </c:numRef>
          </c:xVal>
          <c:yVal>
            <c:numRef>
              <c:f>'Distance vs Hops'!$F$5:$F$14</c:f>
              <c:numCache>
                <c:formatCode>General</c:formatCode>
                <c:ptCount val="10"/>
                <c:pt idx="0">
                  <c:v>23</c:v>
                </c:pt>
                <c:pt idx="1">
                  <c:v>20</c:v>
                </c:pt>
                <c:pt idx="2">
                  <c:v>16</c:v>
                </c:pt>
                <c:pt idx="3">
                  <c:v>23</c:v>
                </c:pt>
                <c:pt idx="4">
                  <c:v>19</c:v>
                </c:pt>
                <c:pt idx="5">
                  <c:v>22</c:v>
                </c:pt>
                <c:pt idx="6">
                  <c:v>15</c:v>
                </c:pt>
                <c:pt idx="7">
                  <c:v>26</c:v>
                </c:pt>
                <c:pt idx="8">
                  <c:v>19</c:v>
                </c:pt>
                <c:pt idx="9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60-43CA-9DE7-CD1419403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770895"/>
        <c:axId val="24911075"/>
      </c:scatterChart>
      <c:valAx>
        <c:axId val="78770895"/>
        <c:scaling>
          <c:orientation val="minMax"/>
          <c:max val="20000"/>
          <c:min val="10000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Great-circle distance from Melbourne (km)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zh-CN"/>
          </a:p>
        </c:txPr>
        <c:crossAx val="24911075"/>
        <c:crosses val="autoZero"/>
        <c:crossBetween val="midCat"/>
        <c:majorUnit val="2000"/>
      </c:valAx>
      <c:valAx>
        <c:axId val="24911075"/>
        <c:scaling>
          <c:orientation val="minMax"/>
          <c:max val="28"/>
          <c:min val="10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Hop count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zh-CN"/>
          </a:p>
        </c:txPr>
        <c:crossAx val="78770895"/>
        <c:crosses val="autoZero"/>
        <c:crossBetween val="midCat"/>
        <c:majorUnit val="2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3</xdr:col>
      <xdr:colOff>1842840</xdr:colOff>
      <xdr:row>44</xdr:row>
      <xdr:rowOff>147600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0</xdr:colOff>
      <xdr:row>45</xdr:row>
      <xdr:rowOff>0</xdr:rowOff>
    </xdr:from>
    <xdr:ext cx="6858000" cy="4191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71</xdr:row>
      <xdr:rowOff>0</xdr:rowOff>
    </xdr:from>
    <xdr:ext cx="7239000" cy="43815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zoomScale="70" zoomScaleNormal="70" workbookViewId="0">
      <pane ySplit="3" topLeftCell="A4" activePane="bottomLeft" state="frozen"/>
      <selection pane="bottomLeft" activeCell="L29" sqref="L29"/>
    </sheetView>
  </sheetViews>
  <sheetFormatPr defaultColWidth="8.6640625" defaultRowHeight="14.4" x14ac:dyDescent="0.3"/>
  <cols>
    <col min="1" max="1" width="28" customWidth="1"/>
    <col min="2" max="2" width="32" customWidth="1"/>
    <col min="3" max="3" width="16" customWidth="1"/>
    <col min="4" max="4" width="35.6640625" customWidth="1"/>
    <col min="5" max="5" width="14" customWidth="1"/>
    <col min="6" max="6" width="10" customWidth="1"/>
    <col min="7" max="7" width="18" customWidth="1"/>
    <col min="8" max="8" width="16" customWidth="1"/>
    <col min="9" max="10" width="12" customWidth="1"/>
    <col min="11" max="11" width="14" customWidth="1"/>
    <col min="12" max="12" width="33.88671875" customWidth="1"/>
    <col min="13" max="13" width="55" customWidth="1"/>
  </cols>
  <sheetData>
    <row r="1" spans="1:13" ht="24" customHeight="1" x14ac:dyDescent="0.3">
      <c r="A1" s="12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3" ht="16.5" customHeight="1" x14ac:dyDescent="0.3">
      <c r="A2" s="10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3" ht="58.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2" t="s">
        <v>14</v>
      </c>
    </row>
    <row r="4" spans="1:13" ht="33.75" customHeight="1" x14ac:dyDescent="0.3">
      <c r="A4" s="3" t="s">
        <v>15</v>
      </c>
      <c r="B4" s="4" t="s">
        <v>16</v>
      </c>
      <c r="C4" s="3" t="s">
        <v>17</v>
      </c>
      <c r="D4" s="3" t="s">
        <v>18</v>
      </c>
      <c r="E4" s="3" t="s">
        <v>17</v>
      </c>
      <c r="F4" s="3">
        <v>0</v>
      </c>
      <c r="G4" s="3" t="s">
        <v>19</v>
      </c>
      <c r="H4" s="3" t="s">
        <v>18</v>
      </c>
      <c r="I4" s="3">
        <v>-37.813600000000001</v>
      </c>
      <c r="J4" s="3">
        <v>144.9631</v>
      </c>
      <c r="K4" s="3">
        <v>0</v>
      </c>
      <c r="L4" s="4" t="s">
        <v>20</v>
      </c>
      <c r="M4" s="5"/>
    </row>
    <row r="5" spans="1:13" ht="21.75" customHeight="1" x14ac:dyDescent="0.3">
      <c r="A5" s="6">
        <v>1</v>
      </c>
      <c r="B5" s="7" t="s">
        <v>21</v>
      </c>
      <c r="C5" s="8" t="s">
        <v>22</v>
      </c>
      <c r="D5" s="6" t="s">
        <v>23</v>
      </c>
      <c r="E5" s="6" t="s">
        <v>24</v>
      </c>
      <c r="F5" s="6">
        <v>23</v>
      </c>
      <c r="G5" s="8" t="s">
        <v>25</v>
      </c>
      <c r="H5" s="8" t="s">
        <v>26</v>
      </c>
      <c r="I5" s="8">
        <v>33.984499999999997</v>
      </c>
      <c r="J5" s="8">
        <v>-101.33799999999999</v>
      </c>
      <c r="K5" s="8">
        <f t="shared" ref="K5:K14" si="0">IF(OR(I5="",J5=""),"",ROUND(6371*ACOS(MIN(1,SIN(RADIANS($I$4))*SIN(RADIANS(I5))+COS(RADIANS($I$4))*COS(RADIANS(I5))*COS(RADIANS(J5-$J$4)))),0))</f>
        <v>14155</v>
      </c>
      <c r="L5" s="7"/>
      <c r="M5" s="5" t="s">
        <v>27</v>
      </c>
    </row>
    <row r="6" spans="1:13" ht="21.6" customHeight="1" x14ac:dyDescent="0.3">
      <c r="A6" s="6">
        <v>2</v>
      </c>
      <c r="B6" s="7" t="s">
        <v>28</v>
      </c>
      <c r="C6" s="8" t="s">
        <v>29</v>
      </c>
      <c r="D6" s="6" t="s">
        <v>30</v>
      </c>
      <c r="E6" s="6" t="s">
        <v>31</v>
      </c>
      <c r="F6" s="6">
        <v>20</v>
      </c>
      <c r="G6" s="8" t="s">
        <v>32</v>
      </c>
      <c r="H6" s="8" t="s">
        <v>30</v>
      </c>
      <c r="I6" s="8">
        <v>50.110900000000001</v>
      </c>
      <c r="J6" s="8">
        <v>8.6821300000000008</v>
      </c>
      <c r="K6" s="8">
        <f t="shared" si="0"/>
        <v>16321</v>
      </c>
      <c r="L6" s="7"/>
      <c r="M6" s="5" t="s">
        <v>33</v>
      </c>
    </row>
    <row r="7" spans="1:13" ht="33" customHeight="1" x14ac:dyDescent="0.3">
      <c r="A7" s="6">
        <v>3</v>
      </c>
      <c r="B7" s="7" t="s">
        <v>34</v>
      </c>
      <c r="C7" s="8" t="s">
        <v>35</v>
      </c>
      <c r="D7" s="6" t="s">
        <v>36</v>
      </c>
      <c r="E7" s="6" t="s">
        <v>31</v>
      </c>
      <c r="F7" s="6">
        <v>16</v>
      </c>
      <c r="G7" s="8" t="s">
        <v>32</v>
      </c>
      <c r="H7" s="8" t="s">
        <v>30</v>
      </c>
      <c r="I7" s="8">
        <v>50.110900000000001</v>
      </c>
      <c r="J7" s="8">
        <v>8.6821300000000008</v>
      </c>
      <c r="K7" s="8">
        <f t="shared" si="0"/>
        <v>16321</v>
      </c>
      <c r="L7" s="7" t="s">
        <v>37</v>
      </c>
      <c r="M7" s="5" t="s">
        <v>38</v>
      </c>
    </row>
    <row r="8" spans="1:13" ht="21.75" customHeight="1" x14ac:dyDescent="0.3">
      <c r="A8" s="6">
        <v>4</v>
      </c>
      <c r="B8" s="7" t="s">
        <v>39</v>
      </c>
      <c r="C8" s="8" t="s">
        <v>40</v>
      </c>
      <c r="D8" s="6" t="s">
        <v>41</v>
      </c>
      <c r="E8" s="6" t="s">
        <v>24</v>
      </c>
      <c r="F8" s="6">
        <v>23</v>
      </c>
      <c r="G8" s="8" t="s">
        <v>42</v>
      </c>
      <c r="H8" s="8" t="s">
        <v>43</v>
      </c>
      <c r="I8" s="8">
        <v>49.831400000000002</v>
      </c>
      <c r="J8" s="8">
        <v>18.2776</v>
      </c>
      <c r="K8" s="8">
        <f t="shared" si="0"/>
        <v>15636</v>
      </c>
      <c r="L8" s="7"/>
      <c r="M8" s="5"/>
    </row>
    <row r="9" spans="1:13" ht="21.75" customHeight="1" x14ac:dyDescent="0.3">
      <c r="A9" s="6">
        <v>5</v>
      </c>
      <c r="B9" s="7" t="s">
        <v>44</v>
      </c>
      <c r="C9" s="8" t="s">
        <v>45</v>
      </c>
      <c r="D9" s="6" t="s">
        <v>46</v>
      </c>
      <c r="E9" s="6" t="s">
        <v>31</v>
      </c>
      <c r="F9" s="6">
        <v>19</v>
      </c>
      <c r="G9" s="8" t="s">
        <v>47</v>
      </c>
      <c r="H9" s="8" t="s">
        <v>46</v>
      </c>
      <c r="I9" s="8">
        <v>60.169899999999998</v>
      </c>
      <c r="J9" s="8">
        <v>24.938400000000001</v>
      </c>
      <c r="K9" s="8">
        <f t="shared" si="0"/>
        <v>15207</v>
      </c>
      <c r="L9" s="7"/>
      <c r="M9" s="5" t="s">
        <v>48</v>
      </c>
    </row>
    <row r="10" spans="1:13" ht="21.75" customHeight="1" x14ac:dyDescent="0.3">
      <c r="A10" s="6">
        <v>6</v>
      </c>
      <c r="B10" s="7" t="s">
        <v>49</v>
      </c>
      <c r="C10" s="8" t="s">
        <v>50</v>
      </c>
      <c r="D10" s="6" t="s">
        <v>51</v>
      </c>
      <c r="E10" s="6" t="s">
        <v>31</v>
      </c>
      <c r="F10" s="6">
        <v>22</v>
      </c>
      <c r="G10" s="8" t="s">
        <v>52</v>
      </c>
      <c r="H10" s="8" t="s">
        <v>51</v>
      </c>
      <c r="I10" s="8">
        <v>45.464199999999998</v>
      </c>
      <c r="J10" s="8">
        <v>9.1899800000000003</v>
      </c>
      <c r="K10" s="8">
        <f t="shared" si="0"/>
        <v>16292</v>
      </c>
      <c r="L10" s="7"/>
      <c r="M10" s="5" t="s">
        <v>53</v>
      </c>
    </row>
    <row r="11" spans="1:13" ht="37.799999999999997" customHeight="1" x14ac:dyDescent="0.3">
      <c r="A11" s="6">
        <v>7</v>
      </c>
      <c r="B11" s="13" t="s">
        <v>86</v>
      </c>
      <c r="C11" s="8" t="s">
        <v>54</v>
      </c>
      <c r="D11" s="6" t="s">
        <v>55</v>
      </c>
      <c r="E11" s="6" t="s">
        <v>31</v>
      </c>
      <c r="F11" s="6">
        <v>15</v>
      </c>
      <c r="G11" s="8" t="s">
        <v>56</v>
      </c>
      <c r="H11" s="8" t="s">
        <v>55</v>
      </c>
      <c r="I11" s="8">
        <v>38.759900000000002</v>
      </c>
      <c r="J11" s="8">
        <v>-9.1576500000000003</v>
      </c>
      <c r="K11" s="8">
        <f t="shared" si="0"/>
        <v>17761</v>
      </c>
      <c r="L11" s="7" t="s">
        <v>57</v>
      </c>
      <c r="M11" s="5"/>
    </row>
    <row r="12" spans="1:13" ht="33.6" customHeight="1" x14ac:dyDescent="0.3">
      <c r="A12" s="6">
        <v>8</v>
      </c>
      <c r="B12" s="13" t="s">
        <v>85</v>
      </c>
      <c r="C12" s="8" t="s">
        <v>58</v>
      </c>
      <c r="D12" s="6" t="s">
        <v>59</v>
      </c>
      <c r="E12" s="6" t="s">
        <v>24</v>
      </c>
      <c r="F12" s="6">
        <v>26</v>
      </c>
      <c r="G12" s="8" t="s">
        <v>60</v>
      </c>
      <c r="H12" s="8" t="s">
        <v>59</v>
      </c>
      <c r="I12" s="8">
        <v>-2.9401700000000002</v>
      </c>
      <c r="J12" s="8">
        <v>-78.92</v>
      </c>
      <c r="K12" s="8">
        <f t="shared" si="0"/>
        <v>13621</v>
      </c>
      <c r="L12" s="7"/>
      <c r="M12" s="5" t="s">
        <v>61</v>
      </c>
    </row>
    <row r="13" spans="1:13" ht="21.75" customHeight="1" x14ac:dyDescent="0.3">
      <c r="A13" s="6">
        <v>9</v>
      </c>
      <c r="B13" s="7" t="s">
        <v>62</v>
      </c>
      <c r="C13" s="8" t="s">
        <v>63</v>
      </c>
      <c r="D13" s="6" t="s">
        <v>64</v>
      </c>
      <c r="E13" s="6" t="s">
        <v>24</v>
      </c>
      <c r="F13" s="6">
        <v>19</v>
      </c>
      <c r="G13" s="8" t="s">
        <v>65</v>
      </c>
      <c r="H13" s="8" t="s">
        <v>26</v>
      </c>
      <c r="I13" s="8">
        <v>32.789200000000001</v>
      </c>
      <c r="J13" s="8">
        <v>-96.821700000000007</v>
      </c>
      <c r="K13" s="8">
        <f t="shared" si="0"/>
        <v>14482</v>
      </c>
      <c r="L13" s="7"/>
      <c r="M13" s="5" t="s">
        <v>66</v>
      </c>
    </row>
    <row r="14" spans="1:13" ht="36.6" customHeight="1" x14ac:dyDescent="0.3">
      <c r="A14" s="6">
        <v>10</v>
      </c>
      <c r="B14" s="13" t="s">
        <v>84</v>
      </c>
      <c r="C14" s="8" t="s">
        <v>67</v>
      </c>
      <c r="D14" s="6" t="s">
        <v>68</v>
      </c>
      <c r="E14" s="6" t="s">
        <v>24</v>
      </c>
      <c r="F14" s="6">
        <v>21</v>
      </c>
      <c r="G14" s="8" t="s">
        <v>69</v>
      </c>
      <c r="H14" s="8" t="s">
        <v>26</v>
      </c>
      <c r="I14" s="8">
        <v>37.49</v>
      </c>
      <c r="J14" s="8">
        <v>-121.931</v>
      </c>
      <c r="K14" s="8">
        <f>IF(OR(I14="",J14=""),"",ROUND(6371*ACOS(MIN(1,SIN(RADIANS($I$4))*SIN(RADIANS(I14))+COS(RADIANS($I$4))*COS(RADIANS(I14))*COS(RADIANS(J14-$J$4)))),0))</f>
        <v>12679</v>
      </c>
      <c r="L14" s="7" t="s">
        <v>70</v>
      </c>
      <c r="M14" s="5"/>
    </row>
    <row r="15" spans="1:13" ht="16.5" customHeight="1" x14ac:dyDescent="0.3">
      <c r="M15" s="5" t="s">
        <v>71</v>
      </c>
    </row>
    <row r="16" spans="1:13" ht="16.5" customHeight="1" x14ac:dyDescent="0.3">
      <c r="M16" s="5" t="s">
        <v>72</v>
      </c>
    </row>
    <row r="17" spans="1:13" ht="20.25" customHeight="1" x14ac:dyDescent="0.3">
      <c r="A17" s="12" t="s">
        <v>73</v>
      </c>
      <c r="B17" s="11"/>
      <c r="C17" s="11"/>
      <c r="D17" s="11"/>
      <c r="M17" s="5" t="s">
        <v>74</v>
      </c>
    </row>
    <row r="18" spans="1:13" ht="16.5" customHeight="1" x14ac:dyDescent="0.3">
      <c r="A18" s="9" t="s">
        <v>75</v>
      </c>
      <c r="B18" s="7">
        <f>AVERAGE(F5:F14)</f>
        <v>20.399999999999999</v>
      </c>
      <c r="M18" s="5"/>
    </row>
    <row r="19" spans="1:13" ht="16.5" customHeight="1" x14ac:dyDescent="0.3">
      <c r="A19" s="9" t="s">
        <v>76</v>
      </c>
      <c r="B19" s="7">
        <f>MEDIAN(F5:F14)</f>
        <v>20.5</v>
      </c>
      <c r="M19" s="5" t="s">
        <v>77</v>
      </c>
    </row>
    <row r="20" spans="1:13" ht="33.75" customHeight="1" x14ac:dyDescent="0.3">
      <c r="A20" s="9" t="s">
        <v>78</v>
      </c>
      <c r="B20" s="7" t="str">
        <f>MIN(F5:F14)&amp;" / "&amp;MAX(F5:F14)</f>
        <v>15 / 26</v>
      </c>
      <c r="M20" s="5" t="s">
        <v>79</v>
      </c>
    </row>
    <row r="21" spans="1:13" ht="16.5" customHeight="1" x14ac:dyDescent="0.3">
      <c r="A21" s="9" t="s">
        <v>80</v>
      </c>
      <c r="B21" s="7">
        <f>IFERROR(AVERAGE(K5:K14),"fill lat/lon first")</f>
        <v>15247.5</v>
      </c>
      <c r="M21" s="5"/>
    </row>
    <row r="22" spans="1:13" ht="33.75" customHeight="1" x14ac:dyDescent="0.3">
      <c r="A22" s="9" t="s">
        <v>81</v>
      </c>
      <c r="B22" s="7">
        <f>IFERROR(CORREL(F5:F14,K5:K14),"fill lat/lon first")</f>
        <v>-0.62028585967731631</v>
      </c>
      <c r="M22" s="5" t="s">
        <v>82</v>
      </c>
    </row>
    <row r="23" spans="1:13" ht="16.5" customHeight="1" x14ac:dyDescent="0.3">
      <c r="M23" s="5" t="s">
        <v>83</v>
      </c>
    </row>
    <row r="25" spans="1:13" ht="15" customHeight="1" x14ac:dyDescent="0.3"/>
  </sheetData>
  <mergeCells count="3">
    <mergeCell ref="A2:L2"/>
    <mergeCell ref="A1:L1"/>
    <mergeCell ref="A17:D17"/>
  </mergeCells>
  <phoneticPr fontId="6" type="noConversion"/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Distance vs Hops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Guancheng Rong</cp:lastModifiedBy>
  <cp:revision>1</cp:revision>
  <dcterms:created xsi:type="dcterms:W3CDTF">2026-04-22T12:11:00Z</dcterms:created>
  <dcterms:modified xsi:type="dcterms:W3CDTF">2026-04-25T10:11:12Z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C296FD62515B1F281079E8690F122076_42</vt:lpwstr>
  </property>
  <property fmtid="{D5CDD505-2E9C-101B-9397-08002B2CF9AE}" pid="4" name="KSOProductBuildVer">
    <vt:lpwstr>2052-12.1.25201.25201</vt:lpwstr>
  </property>
</Properties>
</file>