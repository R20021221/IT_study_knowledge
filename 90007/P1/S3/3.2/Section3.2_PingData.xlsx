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ets" sheetId="1" state="visible" r:id="rId3"/>
    <sheet name="RunSummary" sheetId="2" state="visible" r:id="rId4"/>
    <sheet name="Host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build_script</author>
  </authors>
  <commentList>
    <comment ref="D4" authorId="0">
      <text>
        <r>
          <rPr>
            <sz val="10"/>
            <rFont val="Arial"/>
            <family val="2"/>
          </rPr>
          <t xml:space="preserve">Source: Section2.2_Analysis.xlsx, sheet "Distance vs Hops", K5 (Haversine).</t>
        </r>
      </text>
    </comment>
    <comment ref="F4" authorId="0">
      <text>
        <r>
          <rPr>
            <sz val="10"/>
            <rFont val="Arial"/>
            <family val="2"/>
          </rPr>
          <t xml:space="preserve">Explicit form of σ = √[ (1/(N-1)) · Σ(xᵢ - x̄)² ]
Source: COMP90007_2026S1_Project1.pdf, Section 3 formula.</t>
        </r>
      </text>
    </comment>
  </commentList>
</comments>
</file>

<file path=xl/sharedStrings.xml><?xml version="1.0" encoding="utf-8"?>
<sst xmlns="http://schemas.openxmlformats.org/spreadsheetml/2006/main" count="511" uniqueCount="56">
  <si>
    <t xml:space="preserve">Host #</t>
  </si>
  <si>
    <t xml:space="preserve">Hostname (requested)</t>
  </si>
  <si>
    <t xml:space="preserve">Resolved Host</t>
  </si>
  <si>
    <t xml:space="preserve">IP</t>
  </si>
  <si>
    <t xml:space="preserve">Run #</t>
  </si>
  <si>
    <t xml:space="preserve">icmp_seq</t>
  </si>
  <si>
    <t xml:space="preserve">bytes</t>
  </si>
  <si>
    <t xml:space="preserve">ttl</t>
  </si>
  <si>
    <t xml:space="preserve">time (ms)</t>
  </si>
  <si>
    <t xml:space="preserve">speedtest.awbb.net</t>
  </si>
  <si>
    <t xml:space="preserve">speedy.awbb.net</t>
  </si>
  <si>
    <t xml:space="preserve">104.245.79.230</t>
  </si>
  <si>
    <t xml:space="preserve">spd-desrv.hostkey.com</t>
  </si>
  <si>
    <t xml:space="preserve">185.84.224.68</t>
  </si>
  <si>
    <t xml:space="preserve">speedtest.wobcom.de</t>
  </si>
  <si>
    <t xml:space="preserve">62.176.224.217</t>
  </si>
  <si>
    <t xml:space="preserve">rychlost.poda.cz</t>
  </si>
  <si>
    <t xml:space="preserve">85.135.13.2</t>
  </si>
  <si>
    <t xml:space="preserve">spd-fisrv.hostkey.com</t>
  </si>
  <si>
    <t xml:space="preserve">212.237.217.41</t>
  </si>
  <si>
    <t xml:space="preserve">speed.itgate.net</t>
  </si>
  <si>
    <t xml:space="preserve">213.212.129.36</t>
  </si>
  <si>
    <t xml:space="preserve">porto.speedtest.net.zon.pt</t>
  </si>
  <si>
    <t xml:space="preserve">95.95.252.95</t>
  </si>
  <si>
    <t xml:space="preserve">speedtest.masnet.ec</t>
  </si>
  <si>
    <t xml:space="preserve">170.83.216.19</t>
  </si>
  <si>
    <t xml:space="preserve">dal.speedtest.clouvider.net</t>
  </si>
  <si>
    <t xml:space="preserve">2.56.188.136</t>
  </si>
  <si>
    <t xml:space="preserve">iperf.he.net</t>
  </si>
  <si>
    <t xml:space="preserve">1500.mtu.he.net</t>
  </si>
  <si>
    <t xml:space="preserve">216.218.207.42</t>
  </si>
  <si>
    <t xml:space="preserve">Packets TX</t>
  </si>
  <si>
    <t xml:space="preserve">Packets RX</t>
  </si>
  <si>
    <t xml:space="preserve">Packet Loss %</t>
  </si>
  <si>
    <t xml:space="preserve">min (ms)</t>
  </si>
  <si>
    <t xml:space="preserve">avg (ms)</t>
  </si>
  <si>
    <t xml:space="preserve">max (ms)</t>
  </si>
  <si>
    <t xml:space="preserve">stddev (ms)</t>
  </si>
  <si>
    <t xml:space="preserve">Section 3.2 — Per-Host Summary (aggregated across 3 runs = 12 packets per host)</t>
  </si>
  <si>
    <t xml:space="preserve">Jitter formula: σ = √[ (1/(N−1)) · Σ(xᵢ − x̄)² ]   |   Distances: Haversine from Section2.2_Analysis.xlsx!K5:K14</t>
  </si>
  <si>
    <t xml:space="preserve">Hostname</t>
  </si>
  <si>
    <t xml:space="preserve">Distance from Melbourne (km)</t>
  </si>
  <si>
    <t xml:space="preserve">Avg RTT (ms)</t>
  </si>
  <si>
    <t xml:space="preserve">Jitter σ (ms)</t>
  </si>
  <si>
    <t xml:space="preserve">N (samples)</t>
  </si>
  <si>
    <t xml:space="preserve">Packets range</t>
  </si>
  <si>
    <t xml:space="preserve">I2:I13</t>
  </si>
  <si>
    <t xml:space="preserve">I14:I25</t>
  </si>
  <si>
    <t xml:space="preserve">I26:I37</t>
  </si>
  <si>
    <t xml:space="preserve">I38:I49</t>
  </si>
  <si>
    <t xml:space="preserve">I50:I61</t>
  </si>
  <si>
    <t xml:space="preserve">I62:I73</t>
  </si>
  <si>
    <t xml:space="preserve">I74:I85</t>
  </si>
  <si>
    <t xml:space="preserve">I86:I97</t>
  </si>
  <si>
    <t xml:space="preserve">I98:I109</t>
  </si>
  <si>
    <t xml:space="preserve">I110:I121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</si>
</sst>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0.0\%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sz val="11"/>
      <color rgb="FFFF0000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Avg RTT vs Geographic Distance (10 iperf hosts)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"Avg RTT"</c:f>
              <c:strCache>
                <c:ptCount val="1"/>
                <c:pt idx="0">
                  <c:v>Avg RTT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HostSummary!$D$4:$D$13</c:f>
              <c:numCache>
                <c:formatCode>#,##0</c:formatCode>
                <c:ptCount val="10"/>
                <c:pt idx="0">
                  <c:v>14155</c:v>
                </c:pt>
                <c:pt idx="1">
                  <c:v>16321</c:v>
                </c:pt>
                <c:pt idx="2">
                  <c:v>16321</c:v>
                </c:pt>
                <c:pt idx="3">
                  <c:v>15636</c:v>
                </c:pt>
                <c:pt idx="4">
                  <c:v>15207</c:v>
                </c:pt>
                <c:pt idx="5">
                  <c:v>16292</c:v>
                </c:pt>
                <c:pt idx="6">
                  <c:v>17761</c:v>
                </c:pt>
                <c:pt idx="7">
                  <c:v>13621</c:v>
                </c:pt>
                <c:pt idx="8">
                  <c:v>14482</c:v>
                </c:pt>
                <c:pt idx="9">
                  <c:v>12679</c:v>
                </c:pt>
              </c:numCache>
            </c:numRef>
          </c:xVal>
          <c:yVal>
            <c:numRef>
              <c:f>HostSummary!$E$4:$E$13</c:f>
              <c:numCache>
                <c:formatCode>0.000</c:formatCode>
                <c:ptCount val="10"/>
                <c:pt idx="0">
                  <c:v>369.028333333333</c:v>
                </c:pt>
                <c:pt idx="1">
                  <c:v>322.234666666667</c:v>
                </c:pt>
                <c:pt idx="2">
                  <c:v>323.9965</c:v>
                </c:pt>
                <c:pt idx="3">
                  <c:v>361.337916666667</c:v>
                </c:pt>
                <c:pt idx="4">
                  <c:v>343.15375</c:v>
                </c:pt>
                <c:pt idx="5">
                  <c:v>346.52075</c:v>
                </c:pt>
                <c:pt idx="6">
                  <c:v>318.438583333333</c:v>
                </c:pt>
                <c:pt idx="7">
                  <c:v>353.719833333333</c:v>
                </c:pt>
                <c:pt idx="8">
                  <c:v>193.039916666667</c:v>
                </c:pt>
                <c:pt idx="9">
                  <c:v>332.911416666667</c:v>
                </c:pt>
              </c:numCache>
            </c:numRef>
          </c:yVal>
          <c:smooth val="1"/>
        </c:ser>
        <c:axId val="81176517"/>
        <c:axId val="63846045"/>
      </c:scatterChart>
      <c:valAx>
        <c:axId val="8117651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Distance from Melbourne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3846045"/>
        <c:crosses val="autoZero"/>
        <c:crossBetween val="midCat"/>
      </c:valAx>
      <c:valAx>
        <c:axId val="63846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RTT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117651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Jitter (σ) vs Geographic Distance (10 iperf hosts)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"Jitter"</c:f>
              <c:strCache>
                <c:ptCount val="1"/>
                <c:pt idx="0">
                  <c:v>Jitter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9360">
                <a:solidFill>
                  <a:srgbClr val="000000"/>
                </a:solidFill>
                <a:round/>
              </a:ln>
            </c:spPr>
            <c:trendlineType val="linear"/>
            <c:forward val="0"/>
            <c:backward val="0"/>
            <c:dispRSqr val="1"/>
            <c:dispEq val="0"/>
          </c:trendline>
          <c:xVal>
            <c:numRef>
              <c:f>HostSummary!$D$4:$D$13</c:f>
              <c:numCache>
                <c:formatCode>#,##0</c:formatCode>
                <c:ptCount val="10"/>
                <c:pt idx="0">
                  <c:v>14155</c:v>
                </c:pt>
                <c:pt idx="1">
                  <c:v>16321</c:v>
                </c:pt>
                <c:pt idx="2">
                  <c:v>16321</c:v>
                </c:pt>
                <c:pt idx="3">
                  <c:v>15636</c:v>
                </c:pt>
                <c:pt idx="4">
                  <c:v>15207</c:v>
                </c:pt>
                <c:pt idx="5">
                  <c:v>16292</c:v>
                </c:pt>
                <c:pt idx="6">
                  <c:v>17761</c:v>
                </c:pt>
                <c:pt idx="7">
                  <c:v>13621</c:v>
                </c:pt>
                <c:pt idx="8">
                  <c:v>14482</c:v>
                </c:pt>
                <c:pt idx="9">
                  <c:v>12679</c:v>
                </c:pt>
              </c:numCache>
            </c:numRef>
          </c:xVal>
          <c:yVal>
            <c:numRef>
              <c:f>HostSummary!$F$4:$F$13</c:f>
              <c:numCache>
                <c:formatCode>0.000</c:formatCode>
                <c:ptCount val="10"/>
                <c:pt idx="0">
                  <c:v>57.3446769842175</c:v>
                </c:pt>
                <c:pt idx="1">
                  <c:v>36.31967972259</c:v>
                </c:pt>
                <c:pt idx="2">
                  <c:v>26.4040882182355</c:v>
                </c:pt>
                <c:pt idx="3">
                  <c:v>28.2845883395513</c:v>
                </c:pt>
                <c:pt idx="4">
                  <c:v>32.3952307379988</c:v>
                </c:pt>
                <c:pt idx="5">
                  <c:v>33.6428458290507</c:v>
                </c:pt>
                <c:pt idx="6">
                  <c:v>53.2180664871319</c:v>
                </c:pt>
                <c:pt idx="7">
                  <c:v>41.0661263193741</c:v>
                </c:pt>
                <c:pt idx="8">
                  <c:v>2.15587191634776</c:v>
                </c:pt>
                <c:pt idx="9">
                  <c:v>65.5594362966757</c:v>
                </c:pt>
              </c:numCache>
            </c:numRef>
          </c:yVal>
          <c:smooth val="1"/>
        </c:ser>
        <c:axId val="12953781"/>
        <c:axId val="82677220"/>
      </c:scatterChart>
      <c:valAx>
        <c:axId val="1295378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Distance from Melbourne (km)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2677220"/>
        <c:crosses val="autoZero"/>
        <c:crossBetween val="midCat"/>
      </c:valAx>
      <c:valAx>
        <c:axId val="82677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Jitter σ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2953781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15</xdr:row>
      <xdr:rowOff>0</xdr:rowOff>
    </xdr:from>
    <xdr:to>
      <xdr:col>3</xdr:col>
      <xdr:colOff>1882800</xdr:colOff>
      <xdr:row>32</xdr:row>
      <xdr:rowOff>1440</xdr:rowOff>
    </xdr:to>
    <xdr:graphicFrame>
      <xdr:nvGraphicFramePr>
        <xdr:cNvPr id="1" name="Chart 1"/>
        <xdr:cNvGraphicFramePr/>
      </xdr:nvGraphicFramePr>
      <xdr:xfrm>
        <a:off x="0" y="28576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1882800</xdr:colOff>
      <xdr:row>53</xdr:row>
      <xdr:rowOff>1080</xdr:rowOff>
    </xdr:to>
    <xdr:graphicFrame>
      <xdr:nvGraphicFramePr>
        <xdr:cNvPr id="2" name="Chart 2"/>
        <xdr:cNvGraphicFramePr/>
      </xdr:nvGraphicFramePr>
      <xdr:xfrm>
        <a:off x="0" y="6858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0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8" min="8" style="0" width="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n">
        <v>1</v>
      </c>
      <c r="F2" s="2" t="n">
        <v>0</v>
      </c>
      <c r="G2" s="2" t="n">
        <v>64</v>
      </c>
      <c r="H2" s="2" t="n">
        <v>48</v>
      </c>
      <c r="I2" s="3" t="n">
        <v>323.385</v>
      </c>
    </row>
    <row r="3" customFormat="false" ht="15" hidden="false" customHeight="false" outlineLevel="0" collapsed="false">
      <c r="A3" s="2" t="n">
        <v>1</v>
      </c>
      <c r="B3" s="2" t="s">
        <v>9</v>
      </c>
      <c r="C3" s="2" t="s">
        <v>10</v>
      </c>
      <c r="D3" s="2" t="s">
        <v>11</v>
      </c>
      <c r="E3" s="2" t="n">
        <v>1</v>
      </c>
      <c r="F3" s="2" t="n">
        <v>1</v>
      </c>
      <c r="G3" s="2" t="n">
        <v>64</v>
      </c>
      <c r="H3" s="2" t="n">
        <v>48</v>
      </c>
      <c r="I3" s="3" t="n">
        <v>344.044</v>
      </c>
    </row>
    <row r="4" customFormat="false" ht="15" hidden="false" customHeight="false" outlineLevel="0" collapsed="false">
      <c r="A4" s="2" t="n">
        <v>1</v>
      </c>
      <c r="B4" s="2" t="s">
        <v>9</v>
      </c>
      <c r="C4" s="2" t="s">
        <v>10</v>
      </c>
      <c r="D4" s="2" t="s">
        <v>11</v>
      </c>
      <c r="E4" s="2" t="n">
        <v>1</v>
      </c>
      <c r="F4" s="2" t="n">
        <v>2</v>
      </c>
      <c r="G4" s="2" t="n">
        <v>64</v>
      </c>
      <c r="H4" s="2" t="n">
        <v>48</v>
      </c>
      <c r="I4" s="3" t="n">
        <v>469.752</v>
      </c>
    </row>
    <row r="5" customFormat="false" ht="15" hidden="false" customHeight="false" outlineLevel="0" collapsed="false">
      <c r="A5" s="2" t="n">
        <v>1</v>
      </c>
      <c r="B5" s="2" t="s">
        <v>9</v>
      </c>
      <c r="C5" s="2" t="s">
        <v>10</v>
      </c>
      <c r="D5" s="2" t="s">
        <v>11</v>
      </c>
      <c r="E5" s="2" t="n">
        <v>1</v>
      </c>
      <c r="F5" s="2" t="n">
        <v>3</v>
      </c>
      <c r="G5" s="2" t="n">
        <v>64</v>
      </c>
      <c r="H5" s="2" t="n">
        <v>48</v>
      </c>
      <c r="I5" s="3" t="n">
        <v>489.509</v>
      </c>
    </row>
    <row r="6" customFormat="false" ht="15" hidden="false" customHeight="false" outlineLevel="0" collapsed="false">
      <c r="A6" s="2" t="n">
        <v>1</v>
      </c>
      <c r="B6" s="2" t="s">
        <v>9</v>
      </c>
      <c r="C6" s="2" t="s">
        <v>10</v>
      </c>
      <c r="D6" s="2" t="s">
        <v>11</v>
      </c>
      <c r="E6" s="2" t="n">
        <v>2</v>
      </c>
      <c r="F6" s="2" t="n">
        <v>0</v>
      </c>
      <c r="G6" s="2" t="n">
        <v>64</v>
      </c>
      <c r="H6" s="2" t="n">
        <v>48</v>
      </c>
      <c r="I6" s="3" t="n">
        <v>310.689</v>
      </c>
    </row>
    <row r="7" customFormat="false" ht="15" hidden="false" customHeight="false" outlineLevel="0" collapsed="false">
      <c r="A7" s="2" t="n">
        <v>1</v>
      </c>
      <c r="B7" s="2" t="s">
        <v>9</v>
      </c>
      <c r="C7" s="2" t="s">
        <v>10</v>
      </c>
      <c r="D7" s="2" t="s">
        <v>11</v>
      </c>
      <c r="E7" s="2" t="n">
        <v>2</v>
      </c>
      <c r="F7" s="2" t="n">
        <v>1</v>
      </c>
      <c r="G7" s="2" t="n">
        <v>64</v>
      </c>
      <c r="H7" s="2" t="n">
        <v>48</v>
      </c>
      <c r="I7" s="3" t="n">
        <v>333.769</v>
      </c>
    </row>
    <row r="8" customFormat="false" ht="15" hidden="false" customHeight="false" outlineLevel="0" collapsed="false">
      <c r="A8" s="2" t="n">
        <v>1</v>
      </c>
      <c r="B8" s="2" t="s">
        <v>9</v>
      </c>
      <c r="C8" s="2" t="s">
        <v>10</v>
      </c>
      <c r="D8" s="2" t="s">
        <v>11</v>
      </c>
      <c r="E8" s="2" t="n">
        <v>2</v>
      </c>
      <c r="F8" s="2" t="n">
        <v>2</v>
      </c>
      <c r="G8" s="2" t="n">
        <v>64</v>
      </c>
      <c r="H8" s="2" t="n">
        <v>48</v>
      </c>
      <c r="I8" s="3" t="n">
        <v>352.317</v>
      </c>
    </row>
    <row r="9" customFormat="false" ht="15" hidden="false" customHeight="false" outlineLevel="0" collapsed="false">
      <c r="A9" s="2" t="n">
        <v>1</v>
      </c>
      <c r="B9" s="2" t="s">
        <v>9</v>
      </c>
      <c r="C9" s="2" t="s">
        <v>10</v>
      </c>
      <c r="D9" s="2" t="s">
        <v>11</v>
      </c>
      <c r="E9" s="2" t="n">
        <v>2</v>
      </c>
      <c r="F9" s="2" t="n">
        <v>3</v>
      </c>
      <c r="G9" s="2" t="n">
        <v>64</v>
      </c>
      <c r="H9" s="2" t="n">
        <v>48</v>
      </c>
      <c r="I9" s="3" t="n">
        <v>373.521</v>
      </c>
    </row>
    <row r="10" customFormat="false" ht="15" hidden="false" customHeight="false" outlineLevel="0" collapsed="false">
      <c r="A10" s="2" t="n">
        <v>1</v>
      </c>
      <c r="B10" s="2" t="s">
        <v>9</v>
      </c>
      <c r="C10" s="2" t="s">
        <v>10</v>
      </c>
      <c r="D10" s="2" t="s">
        <v>11</v>
      </c>
      <c r="E10" s="2" t="n">
        <v>3</v>
      </c>
      <c r="F10" s="2" t="n">
        <v>0</v>
      </c>
      <c r="G10" s="2" t="n">
        <v>64</v>
      </c>
      <c r="H10" s="2" t="n">
        <v>48</v>
      </c>
      <c r="I10" s="3" t="n">
        <v>401.844</v>
      </c>
    </row>
    <row r="11" customFormat="false" ht="15" hidden="false" customHeight="false" outlineLevel="0" collapsed="false">
      <c r="A11" s="2" t="n">
        <v>1</v>
      </c>
      <c r="B11" s="2" t="s">
        <v>9</v>
      </c>
      <c r="C11" s="2" t="s">
        <v>10</v>
      </c>
      <c r="D11" s="2" t="s">
        <v>11</v>
      </c>
      <c r="E11" s="2" t="n">
        <v>3</v>
      </c>
      <c r="F11" s="2" t="n">
        <v>1</v>
      </c>
      <c r="G11" s="2" t="n">
        <v>64</v>
      </c>
      <c r="H11" s="2" t="n">
        <v>48</v>
      </c>
      <c r="I11" s="3" t="n">
        <v>323.581</v>
      </c>
    </row>
    <row r="12" customFormat="false" ht="15" hidden="false" customHeight="false" outlineLevel="0" collapsed="false">
      <c r="A12" s="2" t="n">
        <v>1</v>
      </c>
      <c r="B12" s="2" t="s">
        <v>9</v>
      </c>
      <c r="C12" s="2" t="s">
        <v>10</v>
      </c>
      <c r="D12" s="2" t="s">
        <v>11</v>
      </c>
      <c r="E12" s="2" t="n">
        <v>3</v>
      </c>
      <c r="F12" s="2" t="n">
        <v>2</v>
      </c>
      <c r="G12" s="2" t="n">
        <v>64</v>
      </c>
      <c r="H12" s="2" t="n">
        <v>48</v>
      </c>
      <c r="I12" s="3" t="n">
        <v>342.975</v>
      </c>
    </row>
    <row r="13" customFormat="false" ht="15" hidden="false" customHeight="false" outlineLevel="0" collapsed="false">
      <c r="A13" s="2" t="n">
        <v>1</v>
      </c>
      <c r="B13" s="2" t="s">
        <v>9</v>
      </c>
      <c r="C13" s="2" t="s">
        <v>10</v>
      </c>
      <c r="D13" s="2" t="s">
        <v>11</v>
      </c>
      <c r="E13" s="2" t="n">
        <v>3</v>
      </c>
      <c r="F13" s="2" t="n">
        <v>3</v>
      </c>
      <c r="G13" s="2" t="n">
        <v>64</v>
      </c>
      <c r="H13" s="2" t="n">
        <v>48</v>
      </c>
      <c r="I13" s="3" t="n">
        <v>362.954</v>
      </c>
    </row>
    <row r="14" customFormat="false" ht="15" hidden="false" customHeight="false" outlineLevel="0" collapsed="false">
      <c r="A14" s="2" t="n">
        <v>2</v>
      </c>
      <c r="B14" s="2" t="s">
        <v>12</v>
      </c>
      <c r="C14" s="2" t="s">
        <v>12</v>
      </c>
      <c r="D14" s="2" t="s">
        <v>13</v>
      </c>
      <c r="E14" s="2" t="n">
        <v>1</v>
      </c>
      <c r="F14" s="2" t="n">
        <v>0</v>
      </c>
      <c r="G14" s="2" t="n">
        <v>64</v>
      </c>
      <c r="H14" s="2" t="n">
        <v>52</v>
      </c>
      <c r="I14" s="3" t="n">
        <v>349.416</v>
      </c>
    </row>
    <row r="15" customFormat="false" ht="15" hidden="false" customHeight="false" outlineLevel="0" collapsed="false">
      <c r="A15" s="2" t="n">
        <v>2</v>
      </c>
      <c r="B15" s="2" t="s">
        <v>12</v>
      </c>
      <c r="C15" s="2" t="s">
        <v>12</v>
      </c>
      <c r="D15" s="2" t="s">
        <v>13</v>
      </c>
      <c r="E15" s="2" t="n">
        <v>1</v>
      </c>
      <c r="F15" s="2" t="n">
        <v>1</v>
      </c>
      <c r="G15" s="2" t="n">
        <v>64</v>
      </c>
      <c r="H15" s="2" t="n">
        <v>52</v>
      </c>
      <c r="I15" s="3" t="n">
        <v>280.9</v>
      </c>
    </row>
    <row r="16" customFormat="false" ht="15" hidden="false" customHeight="false" outlineLevel="0" collapsed="false">
      <c r="A16" s="2" t="n">
        <v>2</v>
      </c>
      <c r="B16" s="2" t="s">
        <v>12</v>
      </c>
      <c r="C16" s="2" t="s">
        <v>12</v>
      </c>
      <c r="D16" s="2" t="s">
        <v>13</v>
      </c>
      <c r="E16" s="2" t="n">
        <v>1</v>
      </c>
      <c r="F16" s="2" t="n">
        <v>2</v>
      </c>
      <c r="G16" s="2" t="n">
        <v>64</v>
      </c>
      <c r="H16" s="2" t="n">
        <v>52</v>
      </c>
      <c r="I16" s="3" t="n">
        <v>389.726</v>
      </c>
    </row>
    <row r="17" customFormat="false" ht="15" hidden="false" customHeight="false" outlineLevel="0" collapsed="false">
      <c r="A17" s="2" t="n">
        <v>2</v>
      </c>
      <c r="B17" s="2" t="s">
        <v>12</v>
      </c>
      <c r="C17" s="2" t="s">
        <v>12</v>
      </c>
      <c r="D17" s="2" t="s">
        <v>13</v>
      </c>
      <c r="E17" s="2" t="n">
        <v>1</v>
      </c>
      <c r="F17" s="2" t="n">
        <v>3</v>
      </c>
      <c r="G17" s="2" t="n">
        <v>64</v>
      </c>
      <c r="H17" s="2" t="n">
        <v>52</v>
      </c>
      <c r="I17" s="3" t="n">
        <v>307.432</v>
      </c>
    </row>
    <row r="18" customFormat="false" ht="15" hidden="false" customHeight="false" outlineLevel="0" collapsed="false">
      <c r="A18" s="2" t="n">
        <v>2</v>
      </c>
      <c r="B18" s="2" t="s">
        <v>12</v>
      </c>
      <c r="C18" s="2" t="s">
        <v>12</v>
      </c>
      <c r="D18" s="2" t="s">
        <v>13</v>
      </c>
      <c r="E18" s="2" t="n">
        <v>2</v>
      </c>
      <c r="F18" s="2" t="n">
        <v>0</v>
      </c>
      <c r="G18" s="2" t="n">
        <v>64</v>
      </c>
      <c r="H18" s="2" t="n">
        <v>52</v>
      </c>
      <c r="I18" s="3" t="n">
        <v>284.547</v>
      </c>
    </row>
    <row r="19" customFormat="false" ht="15" hidden="false" customHeight="false" outlineLevel="0" collapsed="false">
      <c r="A19" s="2" t="n">
        <v>2</v>
      </c>
      <c r="B19" s="2" t="s">
        <v>12</v>
      </c>
      <c r="C19" s="2" t="s">
        <v>12</v>
      </c>
      <c r="D19" s="2" t="s">
        <v>13</v>
      </c>
      <c r="E19" s="2" t="n">
        <v>2</v>
      </c>
      <c r="F19" s="2" t="n">
        <v>1</v>
      </c>
      <c r="G19" s="2" t="n">
        <v>64</v>
      </c>
      <c r="H19" s="2" t="n">
        <v>52</v>
      </c>
      <c r="I19" s="3" t="n">
        <v>291.784</v>
      </c>
    </row>
    <row r="20" customFormat="false" ht="15" hidden="false" customHeight="false" outlineLevel="0" collapsed="false">
      <c r="A20" s="2" t="n">
        <v>2</v>
      </c>
      <c r="B20" s="2" t="s">
        <v>12</v>
      </c>
      <c r="C20" s="2" t="s">
        <v>12</v>
      </c>
      <c r="D20" s="2" t="s">
        <v>13</v>
      </c>
      <c r="E20" s="2" t="n">
        <v>2</v>
      </c>
      <c r="F20" s="2" t="n">
        <v>2</v>
      </c>
      <c r="G20" s="2" t="n">
        <v>64</v>
      </c>
      <c r="H20" s="2" t="n">
        <v>52</v>
      </c>
      <c r="I20" s="3" t="n">
        <v>310.441</v>
      </c>
    </row>
    <row r="21" customFormat="false" ht="15" hidden="false" customHeight="false" outlineLevel="0" collapsed="false">
      <c r="A21" s="2" t="n">
        <v>2</v>
      </c>
      <c r="B21" s="2" t="s">
        <v>12</v>
      </c>
      <c r="C21" s="2" t="s">
        <v>12</v>
      </c>
      <c r="D21" s="2" t="s">
        <v>13</v>
      </c>
      <c r="E21" s="2" t="n">
        <v>2</v>
      </c>
      <c r="F21" s="2" t="n">
        <v>3</v>
      </c>
      <c r="G21" s="2" t="n">
        <v>64</v>
      </c>
      <c r="H21" s="2" t="n">
        <v>52</v>
      </c>
      <c r="I21" s="3" t="n">
        <v>284.299</v>
      </c>
    </row>
    <row r="22" customFormat="false" ht="15" hidden="false" customHeight="false" outlineLevel="0" collapsed="false">
      <c r="A22" s="2" t="n">
        <v>2</v>
      </c>
      <c r="B22" s="2" t="s">
        <v>12</v>
      </c>
      <c r="C22" s="2" t="s">
        <v>12</v>
      </c>
      <c r="D22" s="2" t="s">
        <v>13</v>
      </c>
      <c r="E22" s="2" t="n">
        <v>3</v>
      </c>
      <c r="F22" s="2" t="n">
        <v>0</v>
      </c>
      <c r="G22" s="2" t="n">
        <v>64</v>
      </c>
      <c r="H22" s="2" t="n">
        <v>52</v>
      </c>
      <c r="I22" s="3" t="n">
        <v>313.697</v>
      </c>
    </row>
    <row r="23" customFormat="false" ht="15" hidden="false" customHeight="false" outlineLevel="0" collapsed="false">
      <c r="A23" s="2" t="n">
        <v>2</v>
      </c>
      <c r="B23" s="2" t="s">
        <v>12</v>
      </c>
      <c r="C23" s="2" t="s">
        <v>12</v>
      </c>
      <c r="D23" s="2" t="s">
        <v>13</v>
      </c>
      <c r="E23" s="2" t="n">
        <v>3</v>
      </c>
      <c r="F23" s="2" t="n">
        <v>1</v>
      </c>
      <c r="G23" s="2" t="n">
        <v>64</v>
      </c>
      <c r="H23" s="2" t="n">
        <v>52</v>
      </c>
      <c r="I23" s="3" t="n">
        <v>332.636</v>
      </c>
    </row>
    <row r="24" customFormat="false" ht="15" hidden="false" customHeight="false" outlineLevel="0" collapsed="false">
      <c r="A24" s="2" t="n">
        <v>2</v>
      </c>
      <c r="B24" s="2" t="s">
        <v>12</v>
      </c>
      <c r="C24" s="2" t="s">
        <v>12</v>
      </c>
      <c r="D24" s="2" t="s">
        <v>13</v>
      </c>
      <c r="E24" s="2" t="n">
        <v>3</v>
      </c>
      <c r="F24" s="2" t="n">
        <v>2</v>
      </c>
      <c r="G24" s="2" t="n">
        <v>64</v>
      </c>
      <c r="H24" s="2" t="n">
        <v>52</v>
      </c>
      <c r="I24" s="3" t="n">
        <v>351.452</v>
      </c>
    </row>
    <row r="25" customFormat="false" ht="15" hidden="false" customHeight="false" outlineLevel="0" collapsed="false">
      <c r="A25" s="2" t="n">
        <v>2</v>
      </c>
      <c r="B25" s="2" t="s">
        <v>12</v>
      </c>
      <c r="C25" s="2" t="s">
        <v>12</v>
      </c>
      <c r="D25" s="2" t="s">
        <v>13</v>
      </c>
      <c r="E25" s="2" t="n">
        <v>3</v>
      </c>
      <c r="F25" s="2" t="n">
        <v>3</v>
      </c>
      <c r="G25" s="2" t="n">
        <v>64</v>
      </c>
      <c r="H25" s="2" t="n">
        <v>52</v>
      </c>
      <c r="I25" s="3" t="n">
        <v>370.486</v>
      </c>
    </row>
    <row r="26" customFormat="false" ht="15" hidden="false" customHeight="false" outlineLevel="0" collapsed="false">
      <c r="A26" s="2" t="n">
        <v>3</v>
      </c>
      <c r="B26" s="2" t="s">
        <v>14</v>
      </c>
      <c r="C26" s="2" t="s">
        <v>14</v>
      </c>
      <c r="D26" s="2" t="s">
        <v>15</v>
      </c>
      <c r="E26" s="2" t="n">
        <v>1</v>
      </c>
      <c r="F26" s="2" t="n">
        <v>0</v>
      </c>
      <c r="G26" s="2" t="n">
        <v>64</v>
      </c>
      <c r="H26" s="2" t="n">
        <v>50</v>
      </c>
      <c r="I26" s="3" t="n">
        <v>303.36</v>
      </c>
    </row>
    <row r="27" customFormat="false" ht="15" hidden="false" customHeight="false" outlineLevel="0" collapsed="false">
      <c r="A27" s="2" t="n">
        <v>3</v>
      </c>
      <c r="B27" s="2" t="s">
        <v>14</v>
      </c>
      <c r="C27" s="2" t="s">
        <v>14</v>
      </c>
      <c r="D27" s="2" t="s">
        <v>15</v>
      </c>
      <c r="E27" s="2" t="n">
        <v>1</v>
      </c>
      <c r="F27" s="2" t="n">
        <v>1</v>
      </c>
      <c r="G27" s="2" t="n">
        <v>64</v>
      </c>
      <c r="H27" s="2" t="n">
        <v>50</v>
      </c>
      <c r="I27" s="3" t="n">
        <v>307.364</v>
      </c>
    </row>
    <row r="28" customFormat="false" ht="15" hidden="false" customHeight="false" outlineLevel="0" collapsed="false">
      <c r="A28" s="2" t="n">
        <v>3</v>
      </c>
      <c r="B28" s="2" t="s">
        <v>14</v>
      </c>
      <c r="C28" s="2" t="s">
        <v>14</v>
      </c>
      <c r="D28" s="2" t="s">
        <v>15</v>
      </c>
      <c r="E28" s="2" t="n">
        <v>1</v>
      </c>
      <c r="F28" s="2" t="n">
        <v>2</v>
      </c>
      <c r="G28" s="2" t="n">
        <v>64</v>
      </c>
      <c r="H28" s="2" t="n">
        <v>50</v>
      </c>
      <c r="I28" s="3" t="n">
        <v>345.282</v>
      </c>
    </row>
    <row r="29" customFormat="false" ht="15" hidden="false" customHeight="false" outlineLevel="0" collapsed="false">
      <c r="A29" s="2" t="n">
        <v>3</v>
      </c>
      <c r="B29" s="2" t="s">
        <v>14</v>
      </c>
      <c r="C29" s="2" t="s">
        <v>14</v>
      </c>
      <c r="D29" s="2" t="s">
        <v>15</v>
      </c>
      <c r="E29" s="2" t="n">
        <v>1</v>
      </c>
      <c r="F29" s="2" t="n">
        <v>3</v>
      </c>
      <c r="G29" s="2" t="n">
        <v>64</v>
      </c>
      <c r="H29" s="2" t="n">
        <v>50</v>
      </c>
      <c r="I29" s="3" t="n">
        <v>363.234</v>
      </c>
    </row>
    <row r="30" customFormat="false" ht="15" hidden="false" customHeight="false" outlineLevel="0" collapsed="false">
      <c r="A30" s="2" t="n">
        <v>3</v>
      </c>
      <c r="B30" s="2" t="s">
        <v>14</v>
      </c>
      <c r="C30" s="2" t="s">
        <v>14</v>
      </c>
      <c r="D30" s="2" t="s">
        <v>15</v>
      </c>
      <c r="E30" s="2" t="n">
        <v>2</v>
      </c>
      <c r="F30" s="2" t="n">
        <v>0</v>
      </c>
      <c r="G30" s="2" t="n">
        <v>64</v>
      </c>
      <c r="H30" s="2" t="n">
        <v>50</v>
      </c>
      <c r="I30" s="3" t="n">
        <v>303.261</v>
      </c>
    </row>
    <row r="31" customFormat="false" ht="15" hidden="false" customHeight="false" outlineLevel="0" collapsed="false">
      <c r="A31" s="2" t="n">
        <v>3</v>
      </c>
      <c r="B31" s="2" t="s">
        <v>14</v>
      </c>
      <c r="C31" s="2" t="s">
        <v>14</v>
      </c>
      <c r="D31" s="2" t="s">
        <v>15</v>
      </c>
      <c r="E31" s="2" t="n">
        <v>2</v>
      </c>
      <c r="F31" s="2" t="n">
        <v>1</v>
      </c>
      <c r="G31" s="2" t="n">
        <v>64</v>
      </c>
      <c r="H31" s="2" t="n">
        <v>50</v>
      </c>
      <c r="I31" s="3" t="n">
        <v>320.024</v>
      </c>
    </row>
    <row r="32" customFormat="false" ht="15" hidden="false" customHeight="false" outlineLevel="0" collapsed="false">
      <c r="A32" s="2" t="n">
        <v>3</v>
      </c>
      <c r="B32" s="2" t="s">
        <v>14</v>
      </c>
      <c r="C32" s="2" t="s">
        <v>14</v>
      </c>
      <c r="D32" s="2" t="s">
        <v>15</v>
      </c>
      <c r="E32" s="2" t="n">
        <v>2</v>
      </c>
      <c r="F32" s="2" t="n">
        <v>2</v>
      </c>
      <c r="G32" s="2" t="n">
        <v>64</v>
      </c>
      <c r="H32" s="2" t="n">
        <v>50</v>
      </c>
      <c r="I32" s="3" t="n">
        <v>338.643</v>
      </c>
    </row>
    <row r="33" customFormat="false" ht="15" hidden="false" customHeight="false" outlineLevel="0" collapsed="false">
      <c r="A33" s="2" t="n">
        <v>3</v>
      </c>
      <c r="B33" s="2" t="s">
        <v>14</v>
      </c>
      <c r="C33" s="2" t="s">
        <v>14</v>
      </c>
      <c r="D33" s="2" t="s">
        <v>15</v>
      </c>
      <c r="E33" s="2" t="n">
        <v>2</v>
      </c>
      <c r="F33" s="2" t="n">
        <v>3</v>
      </c>
      <c r="G33" s="2" t="n">
        <v>64</v>
      </c>
      <c r="H33" s="2" t="n">
        <v>50</v>
      </c>
      <c r="I33" s="3" t="n">
        <v>302.182</v>
      </c>
    </row>
    <row r="34" customFormat="false" ht="15" hidden="false" customHeight="false" outlineLevel="0" collapsed="false">
      <c r="A34" s="2" t="n">
        <v>3</v>
      </c>
      <c r="B34" s="2" t="s">
        <v>14</v>
      </c>
      <c r="C34" s="2" t="s">
        <v>14</v>
      </c>
      <c r="D34" s="2" t="s">
        <v>15</v>
      </c>
      <c r="E34" s="2" t="n">
        <v>3</v>
      </c>
      <c r="F34" s="2" t="n">
        <v>0</v>
      </c>
      <c r="G34" s="2" t="n">
        <v>64</v>
      </c>
      <c r="H34" s="2" t="n">
        <v>50</v>
      </c>
      <c r="I34" s="3" t="n">
        <v>302.931</v>
      </c>
    </row>
    <row r="35" customFormat="false" ht="15" hidden="false" customHeight="false" outlineLevel="0" collapsed="false">
      <c r="A35" s="2" t="n">
        <v>3</v>
      </c>
      <c r="B35" s="2" t="s">
        <v>14</v>
      </c>
      <c r="C35" s="2" t="s">
        <v>14</v>
      </c>
      <c r="D35" s="2" t="s">
        <v>15</v>
      </c>
      <c r="E35" s="2" t="n">
        <v>3</v>
      </c>
      <c r="F35" s="2" t="n">
        <v>1</v>
      </c>
      <c r="G35" s="2" t="n">
        <v>64</v>
      </c>
      <c r="H35" s="2" t="n">
        <v>50</v>
      </c>
      <c r="I35" s="3" t="n">
        <v>379.141</v>
      </c>
    </row>
    <row r="36" customFormat="false" ht="15" hidden="false" customHeight="false" outlineLevel="0" collapsed="false">
      <c r="A36" s="2" t="n">
        <v>3</v>
      </c>
      <c r="B36" s="2" t="s">
        <v>14</v>
      </c>
      <c r="C36" s="2" t="s">
        <v>14</v>
      </c>
      <c r="D36" s="2" t="s">
        <v>15</v>
      </c>
      <c r="E36" s="2" t="n">
        <v>3</v>
      </c>
      <c r="F36" s="2" t="n">
        <v>2</v>
      </c>
      <c r="G36" s="2" t="n">
        <v>64</v>
      </c>
      <c r="H36" s="2" t="n">
        <v>50</v>
      </c>
      <c r="I36" s="3" t="n">
        <v>307.464</v>
      </c>
    </row>
    <row r="37" customFormat="false" ht="15" hidden="false" customHeight="false" outlineLevel="0" collapsed="false">
      <c r="A37" s="2" t="n">
        <v>3</v>
      </c>
      <c r="B37" s="2" t="s">
        <v>14</v>
      </c>
      <c r="C37" s="2" t="s">
        <v>14</v>
      </c>
      <c r="D37" s="2" t="s">
        <v>15</v>
      </c>
      <c r="E37" s="2" t="n">
        <v>3</v>
      </c>
      <c r="F37" s="2" t="n">
        <v>3</v>
      </c>
      <c r="G37" s="2" t="n">
        <v>64</v>
      </c>
      <c r="H37" s="2" t="n">
        <v>50</v>
      </c>
      <c r="I37" s="3" t="n">
        <v>315.072</v>
      </c>
    </row>
    <row r="38" customFormat="false" ht="15" hidden="false" customHeight="false" outlineLevel="0" collapsed="false">
      <c r="A38" s="2" t="n">
        <v>4</v>
      </c>
      <c r="B38" s="2" t="s">
        <v>16</v>
      </c>
      <c r="C38" s="2" t="s">
        <v>16</v>
      </c>
      <c r="D38" s="2" t="s">
        <v>17</v>
      </c>
      <c r="E38" s="2" t="n">
        <v>1</v>
      </c>
      <c r="F38" s="2" t="n">
        <v>0</v>
      </c>
      <c r="G38" s="2" t="n">
        <v>64</v>
      </c>
      <c r="H38" s="2" t="n">
        <v>36</v>
      </c>
      <c r="I38" s="3" t="n">
        <v>325.757</v>
      </c>
    </row>
    <row r="39" customFormat="false" ht="15" hidden="false" customHeight="false" outlineLevel="0" collapsed="false">
      <c r="A39" s="2" t="n">
        <v>4</v>
      </c>
      <c r="B39" s="2" t="s">
        <v>16</v>
      </c>
      <c r="C39" s="2" t="s">
        <v>16</v>
      </c>
      <c r="D39" s="2" t="s">
        <v>17</v>
      </c>
      <c r="E39" s="2" t="n">
        <v>1</v>
      </c>
      <c r="F39" s="2" t="n">
        <v>1</v>
      </c>
      <c r="G39" s="2" t="n">
        <v>64</v>
      </c>
      <c r="H39" s="2" t="n">
        <v>36</v>
      </c>
      <c r="I39" s="3" t="n">
        <v>345.009</v>
      </c>
    </row>
    <row r="40" customFormat="false" ht="15" hidden="false" customHeight="false" outlineLevel="0" collapsed="false">
      <c r="A40" s="2" t="n">
        <v>4</v>
      </c>
      <c r="B40" s="2" t="s">
        <v>16</v>
      </c>
      <c r="C40" s="2" t="s">
        <v>16</v>
      </c>
      <c r="D40" s="2" t="s">
        <v>17</v>
      </c>
      <c r="E40" s="2" t="n">
        <v>1</v>
      </c>
      <c r="F40" s="2" t="n">
        <v>2</v>
      </c>
      <c r="G40" s="2" t="n">
        <v>64</v>
      </c>
      <c r="H40" s="2" t="n">
        <v>36</v>
      </c>
      <c r="I40" s="3" t="n">
        <v>364.614</v>
      </c>
    </row>
    <row r="41" customFormat="false" ht="15" hidden="false" customHeight="false" outlineLevel="0" collapsed="false">
      <c r="A41" s="2" t="n">
        <v>4</v>
      </c>
      <c r="B41" s="2" t="s">
        <v>16</v>
      </c>
      <c r="C41" s="2" t="s">
        <v>16</v>
      </c>
      <c r="D41" s="2" t="s">
        <v>17</v>
      </c>
      <c r="E41" s="2" t="n">
        <v>1</v>
      </c>
      <c r="F41" s="2" t="n">
        <v>3</v>
      </c>
      <c r="G41" s="2" t="n">
        <v>64</v>
      </c>
      <c r="H41" s="2" t="n">
        <v>36</v>
      </c>
      <c r="I41" s="3" t="n">
        <v>383.288</v>
      </c>
    </row>
    <row r="42" customFormat="false" ht="15" hidden="false" customHeight="false" outlineLevel="0" collapsed="false">
      <c r="A42" s="2" t="n">
        <v>4</v>
      </c>
      <c r="B42" s="2" t="s">
        <v>16</v>
      </c>
      <c r="C42" s="2" t="s">
        <v>16</v>
      </c>
      <c r="D42" s="2" t="s">
        <v>17</v>
      </c>
      <c r="E42" s="2" t="n">
        <v>2</v>
      </c>
      <c r="F42" s="2" t="n">
        <v>0</v>
      </c>
      <c r="G42" s="2" t="n">
        <v>64</v>
      </c>
      <c r="H42" s="2" t="n">
        <v>36</v>
      </c>
      <c r="I42" s="3" t="n">
        <v>336.553</v>
      </c>
    </row>
    <row r="43" customFormat="false" ht="15" hidden="false" customHeight="false" outlineLevel="0" collapsed="false">
      <c r="A43" s="2" t="n">
        <v>4</v>
      </c>
      <c r="B43" s="2" t="s">
        <v>16</v>
      </c>
      <c r="C43" s="2" t="s">
        <v>16</v>
      </c>
      <c r="D43" s="2" t="s">
        <v>17</v>
      </c>
      <c r="E43" s="2" t="n">
        <v>2</v>
      </c>
      <c r="F43" s="2" t="n">
        <v>1</v>
      </c>
      <c r="G43" s="2" t="n">
        <v>64</v>
      </c>
      <c r="H43" s="2" t="n">
        <v>36</v>
      </c>
      <c r="I43" s="3" t="n">
        <v>355.891</v>
      </c>
    </row>
    <row r="44" customFormat="false" ht="15" hidden="false" customHeight="false" outlineLevel="0" collapsed="false">
      <c r="A44" s="2" t="n">
        <v>4</v>
      </c>
      <c r="B44" s="2" t="s">
        <v>16</v>
      </c>
      <c r="C44" s="2" t="s">
        <v>16</v>
      </c>
      <c r="D44" s="2" t="s">
        <v>17</v>
      </c>
      <c r="E44" s="2" t="n">
        <v>2</v>
      </c>
      <c r="F44" s="2" t="n">
        <v>2</v>
      </c>
      <c r="G44" s="2" t="n">
        <v>64</v>
      </c>
      <c r="H44" s="2" t="n">
        <v>36</v>
      </c>
      <c r="I44" s="3" t="n">
        <v>380.725</v>
      </c>
    </row>
    <row r="45" customFormat="false" ht="15" hidden="false" customHeight="false" outlineLevel="0" collapsed="false">
      <c r="A45" s="2" t="n">
        <v>4</v>
      </c>
      <c r="B45" s="2" t="s">
        <v>16</v>
      </c>
      <c r="C45" s="2" t="s">
        <v>16</v>
      </c>
      <c r="D45" s="2" t="s">
        <v>17</v>
      </c>
      <c r="E45" s="2" t="n">
        <v>2</v>
      </c>
      <c r="F45" s="2" t="n">
        <v>3</v>
      </c>
      <c r="G45" s="2" t="n">
        <v>64</v>
      </c>
      <c r="H45" s="2" t="n">
        <v>36</v>
      </c>
      <c r="I45" s="3" t="n">
        <v>398.892</v>
      </c>
    </row>
    <row r="46" customFormat="false" ht="15" hidden="false" customHeight="false" outlineLevel="0" collapsed="false">
      <c r="A46" s="2" t="n">
        <v>4</v>
      </c>
      <c r="B46" s="2" t="s">
        <v>16</v>
      </c>
      <c r="C46" s="2" t="s">
        <v>16</v>
      </c>
      <c r="D46" s="2" t="s">
        <v>17</v>
      </c>
      <c r="E46" s="2" t="n">
        <v>3</v>
      </c>
      <c r="F46" s="2" t="n">
        <v>0</v>
      </c>
      <c r="G46" s="2" t="n">
        <v>64</v>
      </c>
      <c r="H46" s="2" t="n">
        <v>36</v>
      </c>
      <c r="I46" s="3" t="n">
        <v>358.989</v>
      </c>
    </row>
    <row r="47" customFormat="false" ht="15" hidden="false" customHeight="false" outlineLevel="0" collapsed="false">
      <c r="A47" s="2" t="n">
        <v>4</v>
      </c>
      <c r="B47" s="2" t="s">
        <v>16</v>
      </c>
      <c r="C47" s="2" t="s">
        <v>16</v>
      </c>
      <c r="D47" s="2" t="s">
        <v>17</v>
      </c>
      <c r="E47" s="2" t="n">
        <v>3</v>
      </c>
      <c r="F47" s="2" t="n">
        <v>1</v>
      </c>
      <c r="G47" s="2" t="n">
        <v>64</v>
      </c>
      <c r="H47" s="2" t="n">
        <v>36</v>
      </c>
      <c r="I47" s="3" t="n">
        <v>378.885</v>
      </c>
    </row>
    <row r="48" customFormat="false" ht="15" hidden="false" customHeight="false" outlineLevel="0" collapsed="false">
      <c r="A48" s="2" t="n">
        <v>4</v>
      </c>
      <c r="B48" s="2" t="s">
        <v>16</v>
      </c>
      <c r="C48" s="2" t="s">
        <v>16</v>
      </c>
      <c r="D48" s="2" t="s">
        <v>17</v>
      </c>
      <c r="E48" s="2" t="n">
        <v>3</v>
      </c>
      <c r="F48" s="2" t="n">
        <v>2</v>
      </c>
      <c r="G48" s="2" t="n">
        <v>64</v>
      </c>
      <c r="H48" s="2" t="n">
        <v>36</v>
      </c>
      <c r="I48" s="3" t="n">
        <v>397.973</v>
      </c>
    </row>
    <row r="49" customFormat="false" ht="15" hidden="false" customHeight="false" outlineLevel="0" collapsed="false">
      <c r="A49" s="2" t="n">
        <v>4</v>
      </c>
      <c r="B49" s="2" t="s">
        <v>16</v>
      </c>
      <c r="C49" s="2" t="s">
        <v>16</v>
      </c>
      <c r="D49" s="2" t="s">
        <v>17</v>
      </c>
      <c r="E49" s="2" t="n">
        <v>3</v>
      </c>
      <c r="F49" s="2" t="n">
        <v>3</v>
      </c>
      <c r="G49" s="2" t="n">
        <v>64</v>
      </c>
      <c r="H49" s="2" t="n">
        <v>36</v>
      </c>
      <c r="I49" s="3" t="n">
        <v>309.479</v>
      </c>
    </row>
    <row r="50" customFormat="false" ht="15" hidden="false" customHeight="false" outlineLevel="0" collapsed="false">
      <c r="A50" s="2" t="n">
        <v>5</v>
      </c>
      <c r="B50" s="2" t="s">
        <v>18</v>
      </c>
      <c r="C50" s="2" t="s">
        <v>18</v>
      </c>
      <c r="D50" s="2" t="s">
        <v>19</v>
      </c>
      <c r="E50" s="2" t="n">
        <v>1</v>
      </c>
      <c r="F50" s="2" t="n">
        <v>0</v>
      </c>
      <c r="G50" s="2" t="n">
        <v>64</v>
      </c>
      <c r="H50" s="2" t="n">
        <v>54</v>
      </c>
      <c r="I50" s="3" t="n">
        <v>304.051</v>
      </c>
    </row>
    <row r="51" customFormat="false" ht="15" hidden="false" customHeight="false" outlineLevel="0" collapsed="false">
      <c r="A51" s="2" t="n">
        <v>5</v>
      </c>
      <c r="B51" s="2" t="s">
        <v>18</v>
      </c>
      <c r="C51" s="2" t="s">
        <v>18</v>
      </c>
      <c r="D51" s="2" t="s">
        <v>19</v>
      </c>
      <c r="E51" s="2" t="n">
        <v>1</v>
      </c>
      <c r="F51" s="2" t="n">
        <v>1</v>
      </c>
      <c r="G51" s="2" t="n">
        <v>64</v>
      </c>
      <c r="H51" s="2" t="n">
        <v>54</v>
      </c>
      <c r="I51" s="3" t="n">
        <v>322.205</v>
      </c>
    </row>
    <row r="52" customFormat="false" ht="15" hidden="false" customHeight="false" outlineLevel="0" collapsed="false">
      <c r="A52" s="2" t="n">
        <v>5</v>
      </c>
      <c r="B52" s="2" t="s">
        <v>18</v>
      </c>
      <c r="C52" s="2" t="s">
        <v>18</v>
      </c>
      <c r="D52" s="2" t="s">
        <v>19</v>
      </c>
      <c r="E52" s="2" t="n">
        <v>1</v>
      </c>
      <c r="F52" s="2" t="n">
        <v>2</v>
      </c>
      <c r="G52" s="2" t="n">
        <v>64</v>
      </c>
      <c r="H52" s="2" t="n">
        <v>54</v>
      </c>
      <c r="I52" s="3" t="n">
        <v>294.59</v>
      </c>
    </row>
    <row r="53" customFormat="false" ht="15" hidden="false" customHeight="false" outlineLevel="0" collapsed="false">
      <c r="A53" s="2" t="n">
        <v>5</v>
      </c>
      <c r="B53" s="2" t="s">
        <v>18</v>
      </c>
      <c r="C53" s="2" t="s">
        <v>18</v>
      </c>
      <c r="D53" s="2" t="s">
        <v>19</v>
      </c>
      <c r="E53" s="2" t="n">
        <v>1</v>
      </c>
      <c r="F53" s="2" t="n">
        <v>3</v>
      </c>
      <c r="G53" s="2" t="n">
        <v>64</v>
      </c>
      <c r="H53" s="2" t="n">
        <v>54</v>
      </c>
      <c r="I53" s="3" t="n">
        <v>360.514</v>
      </c>
    </row>
    <row r="54" customFormat="false" ht="15" hidden="false" customHeight="false" outlineLevel="0" collapsed="false">
      <c r="A54" s="2" t="n">
        <v>5</v>
      </c>
      <c r="B54" s="2" t="s">
        <v>18</v>
      </c>
      <c r="C54" s="2" t="s">
        <v>18</v>
      </c>
      <c r="D54" s="2" t="s">
        <v>19</v>
      </c>
      <c r="E54" s="2" t="n">
        <v>2</v>
      </c>
      <c r="F54" s="2" t="n">
        <v>0</v>
      </c>
      <c r="G54" s="2" t="n">
        <v>64</v>
      </c>
      <c r="H54" s="2" t="n">
        <v>54</v>
      </c>
      <c r="I54" s="3" t="n">
        <v>395.802</v>
      </c>
    </row>
    <row r="55" customFormat="false" ht="15" hidden="false" customHeight="false" outlineLevel="0" collapsed="false">
      <c r="A55" s="2" t="n">
        <v>5</v>
      </c>
      <c r="B55" s="2" t="s">
        <v>18</v>
      </c>
      <c r="C55" s="2" t="s">
        <v>18</v>
      </c>
      <c r="D55" s="2" t="s">
        <v>19</v>
      </c>
      <c r="E55" s="2" t="n">
        <v>2</v>
      </c>
      <c r="F55" s="2" t="n">
        <v>1</v>
      </c>
      <c r="G55" s="2" t="n">
        <v>64</v>
      </c>
      <c r="H55" s="2" t="n">
        <v>54</v>
      </c>
      <c r="I55" s="3" t="n">
        <v>312.455</v>
      </c>
    </row>
    <row r="56" customFormat="false" ht="15" hidden="false" customHeight="false" outlineLevel="0" collapsed="false">
      <c r="A56" s="2" t="n">
        <v>5</v>
      </c>
      <c r="B56" s="2" t="s">
        <v>18</v>
      </c>
      <c r="C56" s="2" t="s">
        <v>18</v>
      </c>
      <c r="D56" s="2" t="s">
        <v>19</v>
      </c>
      <c r="E56" s="2" t="n">
        <v>2</v>
      </c>
      <c r="F56" s="2" t="n">
        <v>2</v>
      </c>
      <c r="G56" s="2" t="n">
        <v>64</v>
      </c>
      <c r="H56" s="2" t="n">
        <v>54</v>
      </c>
      <c r="I56" s="3" t="n">
        <v>336.006</v>
      </c>
    </row>
    <row r="57" customFormat="false" ht="15" hidden="false" customHeight="false" outlineLevel="0" collapsed="false">
      <c r="A57" s="2" t="n">
        <v>5</v>
      </c>
      <c r="B57" s="2" t="s">
        <v>18</v>
      </c>
      <c r="C57" s="2" t="s">
        <v>18</v>
      </c>
      <c r="D57" s="2" t="s">
        <v>19</v>
      </c>
      <c r="E57" s="2" t="n">
        <v>2</v>
      </c>
      <c r="F57" s="2" t="n">
        <v>3</v>
      </c>
      <c r="G57" s="2" t="n">
        <v>64</v>
      </c>
      <c r="H57" s="2" t="n">
        <v>54</v>
      </c>
      <c r="I57" s="3" t="n">
        <v>354.212</v>
      </c>
    </row>
    <row r="58" customFormat="false" ht="15" hidden="false" customHeight="false" outlineLevel="0" collapsed="false">
      <c r="A58" s="2" t="n">
        <v>5</v>
      </c>
      <c r="B58" s="2" t="s">
        <v>18</v>
      </c>
      <c r="C58" s="2" t="s">
        <v>18</v>
      </c>
      <c r="D58" s="2" t="s">
        <v>19</v>
      </c>
      <c r="E58" s="2" t="n">
        <v>3</v>
      </c>
      <c r="F58" s="2" t="n">
        <v>0</v>
      </c>
      <c r="G58" s="2" t="n">
        <v>64</v>
      </c>
      <c r="H58" s="2" t="n">
        <v>54</v>
      </c>
      <c r="I58" s="3" t="n">
        <v>330.131</v>
      </c>
    </row>
    <row r="59" customFormat="false" ht="15" hidden="false" customHeight="false" outlineLevel="0" collapsed="false">
      <c r="A59" s="2" t="n">
        <v>5</v>
      </c>
      <c r="B59" s="2" t="s">
        <v>18</v>
      </c>
      <c r="C59" s="2" t="s">
        <v>18</v>
      </c>
      <c r="D59" s="2" t="s">
        <v>19</v>
      </c>
      <c r="E59" s="2" t="n">
        <v>3</v>
      </c>
      <c r="F59" s="2" t="n">
        <v>1</v>
      </c>
      <c r="G59" s="2" t="n">
        <v>64</v>
      </c>
      <c r="H59" s="2" t="n">
        <v>54</v>
      </c>
      <c r="I59" s="3" t="n">
        <v>349.788</v>
      </c>
    </row>
    <row r="60" customFormat="false" ht="15" hidden="false" customHeight="false" outlineLevel="0" collapsed="false">
      <c r="A60" s="2" t="n">
        <v>5</v>
      </c>
      <c r="B60" s="2" t="s">
        <v>18</v>
      </c>
      <c r="C60" s="2" t="s">
        <v>18</v>
      </c>
      <c r="D60" s="2" t="s">
        <v>19</v>
      </c>
      <c r="E60" s="2" t="n">
        <v>3</v>
      </c>
      <c r="F60" s="2" t="n">
        <v>2</v>
      </c>
      <c r="G60" s="2" t="n">
        <v>64</v>
      </c>
      <c r="H60" s="2" t="n">
        <v>54</v>
      </c>
      <c r="I60" s="3" t="n">
        <v>368.123</v>
      </c>
    </row>
    <row r="61" customFormat="false" ht="15" hidden="false" customHeight="false" outlineLevel="0" collapsed="false">
      <c r="A61" s="2" t="n">
        <v>5</v>
      </c>
      <c r="B61" s="2" t="s">
        <v>18</v>
      </c>
      <c r="C61" s="2" t="s">
        <v>18</v>
      </c>
      <c r="D61" s="2" t="s">
        <v>19</v>
      </c>
      <c r="E61" s="2" t="n">
        <v>3</v>
      </c>
      <c r="F61" s="2" t="n">
        <v>3</v>
      </c>
      <c r="G61" s="2" t="n">
        <v>64</v>
      </c>
      <c r="H61" s="2" t="n">
        <v>54</v>
      </c>
      <c r="I61" s="3" t="n">
        <v>389.968</v>
      </c>
    </row>
    <row r="62" customFormat="false" ht="15" hidden="false" customHeight="false" outlineLevel="0" collapsed="false">
      <c r="A62" s="2" t="n">
        <v>6</v>
      </c>
      <c r="B62" s="2" t="s">
        <v>20</v>
      </c>
      <c r="C62" s="2" t="s">
        <v>20</v>
      </c>
      <c r="D62" s="2" t="s">
        <v>21</v>
      </c>
      <c r="E62" s="2" t="n">
        <v>1</v>
      </c>
      <c r="F62" s="2" t="n">
        <v>0</v>
      </c>
      <c r="G62" s="2" t="n">
        <v>64</v>
      </c>
      <c r="H62" s="2" t="n">
        <v>30</v>
      </c>
      <c r="I62" s="3" t="n">
        <v>308.254</v>
      </c>
    </row>
    <row r="63" customFormat="false" ht="15" hidden="false" customHeight="false" outlineLevel="0" collapsed="false">
      <c r="A63" s="2" t="n">
        <v>6</v>
      </c>
      <c r="B63" s="2" t="s">
        <v>20</v>
      </c>
      <c r="C63" s="2" t="s">
        <v>20</v>
      </c>
      <c r="D63" s="2" t="s">
        <v>21</v>
      </c>
      <c r="E63" s="2" t="n">
        <v>1</v>
      </c>
      <c r="F63" s="2" t="n">
        <v>1</v>
      </c>
      <c r="G63" s="2" t="n">
        <v>64</v>
      </c>
      <c r="H63" s="2" t="n">
        <v>30</v>
      </c>
      <c r="I63" s="3" t="n">
        <v>374.019</v>
      </c>
    </row>
    <row r="64" customFormat="false" ht="15" hidden="false" customHeight="false" outlineLevel="0" collapsed="false">
      <c r="A64" s="2" t="n">
        <v>6</v>
      </c>
      <c r="B64" s="2" t="s">
        <v>20</v>
      </c>
      <c r="C64" s="2" t="s">
        <v>20</v>
      </c>
      <c r="D64" s="2" t="s">
        <v>21</v>
      </c>
      <c r="E64" s="2" t="n">
        <v>1</v>
      </c>
      <c r="F64" s="2" t="n">
        <v>2</v>
      </c>
      <c r="G64" s="2" t="n">
        <v>64</v>
      </c>
      <c r="H64" s="2" t="n">
        <v>30</v>
      </c>
      <c r="I64" s="3" t="n">
        <v>394.541</v>
      </c>
    </row>
    <row r="65" customFormat="false" ht="15" hidden="false" customHeight="false" outlineLevel="0" collapsed="false">
      <c r="A65" s="2" t="n">
        <v>6</v>
      </c>
      <c r="B65" s="2" t="s">
        <v>20</v>
      </c>
      <c r="C65" s="2" t="s">
        <v>20</v>
      </c>
      <c r="D65" s="2" t="s">
        <v>21</v>
      </c>
      <c r="E65" s="2" t="n">
        <v>1</v>
      </c>
      <c r="F65" s="2" t="n">
        <v>3</v>
      </c>
      <c r="G65" s="2" t="n">
        <v>64</v>
      </c>
      <c r="H65" s="2" t="n">
        <v>30</v>
      </c>
      <c r="I65" s="3" t="n">
        <v>309.67</v>
      </c>
    </row>
    <row r="66" customFormat="false" ht="15" hidden="false" customHeight="false" outlineLevel="0" collapsed="false">
      <c r="A66" s="2" t="n">
        <v>6</v>
      </c>
      <c r="B66" s="2" t="s">
        <v>20</v>
      </c>
      <c r="C66" s="2" t="s">
        <v>20</v>
      </c>
      <c r="D66" s="2" t="s">
        <v>21</v>
      </c>
      <c r="E66" s="2" t="n">
        <v>2</v>
      </c>
      <c r="F66" s="2" t="n">
        <v>0</v>
      </c>
      <c r="G66" s="2" t="n">
        <v>64</v>
      </c>
      <c r="H66" s="2" t="n">
        <v>30</v>
      </c>
      <c r="I66" s="3" t="n">
        <v>307.373</v>
      </c>
    </row>
    <row r="67" customFormat="false" ht="15" hidden="false" customHeight="false" outlineLevel="0" collapsed="false">
      <c r="A67" s="2" t="n">
        <v>6</v>
      </c>
      <c r="B67" s="2" t="s">
        <v>20</v>
      </c>
      <c r="C67" s="2" t="s">
        <v>20</v>
      </c>
      <c r="D67" s="2" t="s">
        <v>21</v>
      </c>
      <c r="E67" s="2" t="n">
        <v>2</v>
      </c>
      <c r="F67" s="2" t="n">
        <v>1</v>
      </c>
      <c r="G67" s="2" t="n">
        <v>64</v>
      </c>
      <c r="H67" s="2" t="n">
        <v>30</v>
      </c>
      <c r="I67" s="3" t="n">
        <v>339.305</v>
      </c>
    </row>
    <row r="68" customFormat="false" ht="15" hidden="false" customHeight="false" outlineLevel="0" collapsed="false">
      <c r="A68" s="2" t="n">
        <v>6</v>
      </c>
      <c r="B68" s="2" t="s">
        <v>20</v>
      </c>
      <c r="C68" s="2" t="s">
        <v>20</v>
      </c>
      <c r="D68" s="2" t="s">
        <v>21</v>
      </c>
      <c r="E68" s="2" t="n">
        <v>2</v>
      </c>
      <c r="F68" s="2" t="n">
        <v>2</v>
      </c>
      <c r="G68" s="2" t="n">
        <v>64</v>
      </c>
      <c r="H68" s="2" t="n">
        <v>30</v>
      </c>
      <c r="I68" s="3" t="n">
        <v>358.119</v>
      </c>
    </row>
    <row r="69" customFormat="false" ht="15" hidden="false" customHeight="false" outlineLevel="0" collapsed="false">
      <c r="A69" s="2" t="n">
        <v>6</v>
      </c>
      <c r="B69" s="2" t="s">
        <v>20</v>
      </c>
      <c r="C69" s="2" t="s">
        <v>20</v>
      </c>
      <c r="D69" s="2" t="s">
        <v>21</v>
      </c>
      <c r="E69" s="2" t="n">
        <v>2</v>
      </c>
      <c r="F69" s="2" t="n">
        <v>3</v>
      </c>
      <c r="G69" s="2" t="n">
        <v>64</v>
      </c>
      <c r="H69" s="2" t="n">
        <v>30</v>
      </c>
      <c r="I69" s="3" t="n">
        <v>380.658</v>
      </c>
    </row>
    <row r="70" customFormat="false" ht="15" hidden="false" customHeight="false" outlineLevel="0" collapsed="false">
      <c r="A70" s="2" t="n">
        <v>6</v>
      </c>
      <c r="B70" s="2" t="s">
        <v>20</v>
      </c>
      <c r="C70" s="2" t="s">
        <v>20</v>
      </c>
      <c r="D70" s="2" t="s">
        <v>21</v>
      </c>
      <c r="E70" s="2" t="n">
        <v>3</v>
      </c>
      <c r="F70" s="2" t="n">
        <v>0</v>
      </c>
      <c r="G70" s="2" t="n">
        <v>64</v>
      </c>
      <c r="H70" s="2" t="n">
        <v>30</v>
      </c>
      <c r="I70" s="3" t="n">
        <v>327.636</v>
      </c>
    </row>
    <row r="71" customFormat="false" ht="15" hidden="false" customHeight="false" outlineLevel="0" collapsed="false">
      <c r="A71" s="2" t="n">
        <v>6</v>
      </c>
      <c r="B71" s="2" t="s">
        <v>20</v>
      </c>
      <c r="C71" s="2" t="s">
        <v>20</v>
      </c>
      <c r="D71" s="2" t="s">
        <v>21</v>
      </c>
      <c r="E71" s="2" t="n">
        <v>3</v>
      </c>
      <c r="F71" s="2" t="n">
        <v>1</v>
      </c>
      <c r="G71" s="2" t="n">
        <v>64</v>
      </c>
      <c r="H71" s="2" t="n">
        <v>30</v>
      </c>
      <c r="I71" s="3" t="n">
        <v>307.918</v>
      </c>
    </row>
    <row r="72" customFormat="false" ht="15" hidden="false" customHeight="false" outlineLevel="0" collapsed="false">
      <c r="A72" s="2" t="n">
        <v>6</v>
      </c>
      <c r="B72" s="2" t="s">
        <v>20</v>
      </c>
      <c r="C72" s="2" t="s">
        <v>20</v>
      </c>
      <c r="D72" s="2" t="s">
        <v>21</v>
      </c>
      <c r="E72" s="2" t="n">
        <v>3</v>
      </c>
      <c r="F72" s="2" t="n">
        <v>2</v>
      </c>
      <c r="G72" s="2" t="n">
        <v>64</v>
      </c>
      <c r="H72" s="2" t="n">
        <v>30</v>
      </c>
      <c r="I72" s="3" t="n">
        <v>366.184</v>
      </c>
    </row>
    <row r="73" customFormat="false" ht="15" hidden="false" customHeight="false" outlineLevel="0" collapsed="false">
      <c r="A73" s="2" t="n">
        <v>6</v>
      </c>
      <c r="B73" s="2" t="s">
        <v>20</v>
      </c>
      <c r="C73" s="2" t="s">
        <v>20</v>
      </c>
      <c r="D73" s="2" t="s">
        <v>21</v>
      </c>
      <c r="E73" s="2" t="n">
        <v>3</v>
      </c>
      <c r="F73" s="2" t="n">
        <v>3</v>
      </c>
      <c r="G73" s="2" t="n">
        <v>64</v>
      </c>
      <c r="H73" s="2" t="n">
        <v>30</v>
      </c>
      <c r="I73" s="3" t="n">
        <v>384.572</v>
      </c>
    </row>
    <row r="74" customFormat="false" ht="15" hidden="false" customHeight="false" outlineLevel="0" collapsed="false">
      <c r="A74" s="2" t="n">
        <v>7</v>
      </c>
      <c r="B74" s="2" t="s">
        <v>22</v>
      </c>
      <c r="C74" s="2" t="s">
        <v>22</v>
      </c>
      <c r="D74" s="2" t="s">
        <v>23</v>
      </c>
      <c r="E74" s="2" t="n">
        <v>1</v>
      </c>
      <c r="F74" s="2" t="n">
        <v>0</v>
      </c>
      <c r="G74" s="2" t="n">
        <v>64</v>
      </c>
      <c r="H74" s="2" t="n">
        <v>54</v>
      </c>
      <c r="I74" s="3" t="n">
        <v>285.714</v>
      </c>
    </row>
    <row r="75" customFormat="false" ht="15" hidden="false" customHeight="false" outlineLevel="0" collapsed="false">
      <c r="A75" s="2" t="n">
        <v>7</v>
      </c>
      <c r="B75" s="2" t="s">
        <v>22</v>
      </c>
      <c r="C75" s="2" t="s">
        <v>22</v>
      </c>
      <c r="D75" s="2" t="s">
        <v>23</v>
      </c>
      <c r="E75" s="2" t="n">
        <v>1</v>
      </c>
      <c r="F75" s="2" t="n">
        <v>1</v>
      </c>
      <c r="G75" s="2" t="n">
        <v>64</v>
      </c>
      <c r="H75" s="2" t="n">
        <v>54</v>
      </c>
      <c r="I75" s="3" t="n">
        <v>303.376</v>
      </c>
    </row>
    <row r="76" customFormat="false" ht="15" hidden="false" customHeight="false" outlineLevel="0" collapsed="false">
      <c r="A76" s="2" t="n">
        <v>7</v>
      </c>
      <c r="B76" s="2" t="s">
        <v>22</v>
      </c>
      <c r="C76" s="2" t="s">
        <v>22</v>
      </c>
      <c r="D76" s="2" t="s">
        <v>23</v>
      </c>
      <c r="E76" s="2" t="n">
        <v>1</v>
      </c>
      <c r="F76" s="2" t="n">
        <v>2</v>
      </c>
      <c r="G76" s="2" t="n">
        <v>64</v>
      </c>
      <c r="H76" s="2" t="n">
        <v>54</v>
      </c>
      <c r="I76" s="3" t="n">
        <v>267.539</v>
      </c>
    </row>
    <row r="77" customFormat="false" ht="15" hidden="false" customHeight="false" outlineLevel="0" collapsed="false">
      <c r="A77" s="2" t="n">
        <v>7</v>
      </c>
      <c r="B77" s="2" t="s">
        <v>22</v>
      </c>
      <c r="C77" s="2" t="s">
        <v>22</v>
      </c>
      <c r="D77" s="2" t="s">
        <v>23</v>
      </c>
      <c r="E77" s="2" t="n">
        <v>1</v>
      </c>
      <c r="F77" s="2" t="n">
        <v>3</v>
      </c>
      <c r="G77" s="2" t="n">
        <v>64</v>
      </c>
      <c r="H77" s="2" t="n">
        <v>54</v>
      </c>
      <c r="I77" s="3" t="n">
        <v>342.463</v>
      </c>
    </row>
    <row r="78" customFormat="false" ht="15" hidden="false" customHeight="false" outlineLevel="0" collapsed="false">
      <c r="A78" s="2" t="n">
        <v>7</v>
      </c>
      <c r="B78" s="2" t="s">
        <v>22</v>
      </c>
      <c r="C78" s="2" t="s">
        <v>22</v>
      </c>
      <c r="D78" s="2" t="s">
        <v>23</v>
      </c>
      <c r="E78" s="2" t="n">
        <v>2</v>
      </c>
      <c r="F78" s="2" t="n">
        <v>0</v>
      </c>
      <c r="G78" s="2" t="n">
        <v>64</v>
      </c>
      <c r="H78" s="2" t="n">
        <v>54</v>
      </c>
      <c r="I78" s="3" t="n">
        <v>268.11</v>
      </c>
    </row>
    <row r="79" customFormat="false" ht="15" hidden="false" customHeight="false" outlineLevel="0" collapsed="false">
      <c r="A79" s="2" t="n">
        <v>7</v>
      </c>
      <c r="B79" s="2" t="s">
        <v>22</v>
      </c>
      <c r="C79" s="2" t="s">
        <v>22</v>
      </c>
      <c r="D79" s="2" t="s">
        <v>23</v>
      </c>
      <c r="E79" s="2" t="n">
        <v>2</v>
      </c>
      <c r="F79" s="2" t="n">
        <v>1</v>
      </c>
      <c r="G79" s="2" t="n">
        <v>64</v>
      </c>
      <c r="H79" s="2" t="n">
        <v>54</v>
      </c>
      <c r="I79" s="3" t="n">
        <v>271.588</v>
      </c>
    </row>
    <row r="80" customFormat="false" ht="15" hidden="false" customHeight="false" outlineLevel="0" collapsed="false">
      <c r="A80" s="2" t="n">
        <v>7</v>
      </c>
      <c r="B80" s="2" t="s">
        <v>22</v>
      </c>
      <c r="C80" s="2" t="s">
        <v>22</v>
      </c>
      <c r="D80" s="2" t="s">
        <v>23</v>
      </c>
      <c r="E80" s="2" t="n">
        <v>2</v>
      </c>
      <c r="F80" s="2" t="n">
        <v>2</v>
      </c>
      <c r="G80" s="2" t="n">
        <v>64</v>
      </c>
      <c r="H80" s="2" t="n">
        <v>54</v>
      </c>
      <c r="I80" s="3" t="n">
        <v>347.165</v>
      </c>
    </row>
    <row r="81" customFormat="false" ht="15" hidden="false" customHeight="false" outlineLevel="0" collapsed="false">
      <c r="A81" s="2" t="n">
        <v>7</v>
      </c>
      <c r="B81" s="2" t="s">
        <v>22</v>
      </c>
      <c r="C81" s="2" t="s">
        <v>22</v>
      </c>
      <c r="D81" s="2" t="s">
        <v>23</v>
      </c>
      <c r="E81" s="2" t="n">
        <v>2</v>
      </c>
      <c r="F81" s="2" t="n">
        <v>3</v>
      </c>
      <c r="G81" s="2" t="n">
        <v>64</v>
      </c>
      <c r="H81" s="2" t="n">
        <v>54</v>
      </c>
      <c r="I81" s="3" t="n">
        <v>366.067</v>
      </c>
    </row>
    <row r="82" customFormat="false" ht="15" hidden="false" customHeight="false" outlineLevel="0" collapsed="false">
      <c r="A82" s="2" t="n">
        <v>7</v>
      </c>
      <c r="B82" s="2" t="s">
        <v>22</v>
      </c>
      <c r="C82" s="2" t="s">
        <v>22</v>
      </c>
      <c r="D82" s="2" t="s">
        <v>23</v>
      </c>
      <c r="E82" s="2" t="n">
        <v>3</v>
      </c>
      <c r="F82" s="2" t="n">
        <v>0</v>
      </c>
      <c r="G82" s="2" t="n">
        <v>64</v>
      </c>
      <c r="H82" s="2" t="n">
        <v>54</v>
      </c>
      <c r="I82" s="3" t="n">
        <v>283.659</v>
      </c>
    </row>
    <row r="83" customFormat="false" ht="15" hidden="false" customHeight="false" outlineLevel="0" collapsed="false">
      <c r="A83" s="2" t="n">
        <v>7</v>
      </c>
      <c r="B83" s="2" t="s">
        <v>22</v>
      </c>
      <c r="C83" s="2" t="s">
        <v>22</v>
      </c>
      <c r="D83" s="2" t="s">
        <v>23</v>
      </c>
      <c r="E83" s="2" t="n">
        <v>3</v>
      </c>
      <c r="F83" s="2" t="n">
        <v>1</v>
      </c>
      <c r="G83" s="2" t="n">
        <v>64</v>
      </c>
      <c r="H83" s="2" t="n">
        <v>54</v>
      </c>
      <c r="I83" s="3" t="n">
        <v>306.595</v>
      </c>
    </row>
    <row r="84" customFormat="false" ht="15" hidden="false" customHeight="false" outlineLevel="0" collapsed="false">
      <c r="A84" s="2" t="n">
        <v>7</v>
      </c>
      <c r="B84" s="2" t="s">
        <v>22</v>
      </c>
      <c r="C84" s="2" t="s">
        <v>22</v>
      </c>
      <c r="D84" s="2" t="s">
        <v>23</v>
      </c>
      <c r="E84" s="2" t="n">
        <v>3</v>
      </c>
      <c r="F84" s="2" t="n">
        <v>2</v>
      </c>
      <c r="G84" s="2" t="n">
        <v>64</v>
      </c>
      <c r="H84" s="2" t="n">
        <v>54</v>
      </c>
      <c r="I84" s="3" t="n">
        <v>328.588</v>
      </c>
    </row>
    <row r="85" customFormat="false" ht="15" hidden="false" customHeight="false" outlineLevel="0" collapsed="false">
      <c r="A85" s="2" t="n">
        <v>7</v>
      </c>
      <c r="B85" s="2" t="s">
        <v>22</v>
      </c>
      <c r="C85" s="2" t="s">
        <v>22</v>
      </c>
      <c r="D85" s="2" t="s">
        <v>23</v>
      </c>
      <c r="E85" s="2" t="n">
        <v>3</v>
      </c>
      <c r="F85" s="2" t="n">
        <v>3</v>
      </c>
      <c r="G85" s="2" t="n">
        <v>64</v>
      </c>
      <c r="H85" s="2" t="n">
        <v>54</v>
      </c>
      <c r="I85" s="3" t="n">
        <v>450.399</v>
      </c>
    </row>
    <row r="86" customFormat="false" ht="15" hidden="false" customHeight="false" outlineLevel="0" collapsed="false">
      <c r="A86" s="2" t="n">
        <v>8</v>
      </c>
      <c r="B86" s="2" t="s">
        <v>24</v>
      </c>
      <c r="C86" s="2" t="s">
        <v>24</v>
      </c>
      <c r="D86" s="2" t="s">
        <v>25</v>
      </c>
      <c r="E86" s="2" t="n">
        <v>1</v>
      </c>
      <c r="F86" s="2" t="n">
        <v>0</v>
      </c>
      <c r="G86" s="2" t="n">
        <v>64</v>
      </c>
      <c r="H86" s="2" t="n">
        <v>34</v>
      </c>
      <c r="I86" s="3" t="n">
        <v>430.035</v>
      </c>
    </row>
    <row r="87" customFormat="false" ht="15" hidden="false" customHeight="false" outlineLevel="0" collapsed="false">
      <c r="A87" s="2" t="n">
        <v>8</v>
      </c>
      <c r="B87" s="2" t="s">
        <v>24</v>
      </c>
      <c r="C87" s="2" t="s">
        <v>24</v>
      </c>
      <c r="D87" s="2" t="s">
        <v>25</v>
      </c>
      <c r="E87" s="2" t="n">
        <v>1</v>
      </c>
      <c r="F87" s="2" t="n">
        <v>1</v>
      </c>
      <c r="G87" s="2" t="n">
        <v>64</v>
      </c>
      <c r="H87" s="2" t="n">
        <v>34</v>
      </c>
      <c r="I87" s="3" t="n">
        <v>347.695</v>
      </c>
    </row>
    <row r="88" customFormat="false" ht="15" hidden="false" customHeight="false" outlineLevel="0" collapsed="false">
      <c r="A88" s="2" t="n">
        <v>8</v>
      </c>
      <c r="B88" s="2" t="s">
        <v>24</v>
      </c>
      <c r="C88" s="2" t="s">
        <v>24</v>
      </c>
      <c r="D88" s="2" t="s">
        <v>25</v>
      </c>
      <c r="E88" s="2" t="n">
        <v>1</v>
      </c>
      <c r="F88" s="2" t="n">
        <v>2</v>
      </c>
      <c r="G88" s="2" t="n">
        <v>64</v>
      </c>
      <c r="H88" s="2" t="n">
        <v>34</v>
      </c>
      <c r="I88" s="3" t="n">
        <v>331.479</v>
      </c>
    </row>
    <row r="89" customFormat="false" ht="15" hidden="false" customHeight="false" outlineLevel="0" collapsed="false">
      <c r="A89" s="2" t="n">
        <v>8</v>
      </c>
      <c r="B89" s="2" t="s">
        <v>24</v>
      </c>
      <c r="C89" s="2" t="s">
        <v>24</v>
      </c>
      <c r="D89" s="2" t="s">
        <v>25</v>
      </c>
      <c r="E89" s="2" t="n">
        <v>1</v>
      </c>
      <c r="F89" s="2" t="n">
        <v>3</v>
      </c>
      <c r="G89" s="2" t="n">
        <v>64</v>
      </c>
      <c r="H89" s="2" t="n">
        <v>34</v>
      </c>
      <c r="I89" s="3" t="n">
        <v>325.073</v>
      </c>
    </row>
    <row r="90" customFormat="false" ht="15" hidden="false" customHeight="false" outlineLevel="0" collapsed="false">
      <c r="A90" s="2" t="n">
        <v>8</v>
      </c>
      <c r="B90" s="2" t="s">
        <v>24</v>
      </c>
      <c r="C90" s="2" t="s">
        <v>24</v>
      </c>
      <c r="D90" s="2" t="s">
        <v>25</v>
      </c>
      <c r="E90" s="2" t="n">
        <v>2</v>
      </c>
      <c r="F90" s="2" t="n">
        <v>0</v>
      </c>
      <c r="G90" s="2" t="n">
        <v>64</v>
      </c>
      <c r="H90" s="2" t="n">
        <v>34</v>
      </c>
      <c r="I90" s="3" t="n">
        <v>405.229</v>
      </c>
    </row>
    <row r="91" customFormat="false" ht="15" hidden="false" customHeight="false" outlineLevel="0" collapsed="false">
      <c r="A91" s="2" t="n">
        <v>8</v>
      </c>
      <c r="B91" s="2" t="s">
        <v>24</v>
      </c>
      <c r="C91" s="2" t="s">
        <v>24</v>
      </c>
      <c r="D91" s="2" t="s">
        <v>25</v>
      </c>
      <c r="E91" s="2" t="n">
        <v>2</v>
      </c>
      <c r="F91" s="2" t="n">
        <v>1</v>
      </c>
      <c r="G91" s="2" t="n">
        <v>64</v>
      </c>
      <c r="H91" s="2" t="n">
        <v>34</v>
      </c>
      <c r="I91" s="3" t="n">
        <v>424.896</v>
      </c>
    </row>
    <row r="92" customFormat="false" ht="15" hidden="false" customHeight="false" outlineLevel="0" collapsed="false">
      <c r="A92" s="2" t="n">
        <v>8</v>
      </c>
      <c r="B92" s="2" t="s">
        <v>24</v>
      </c>
      <c r="C92" s="2" t="s">
        <v>24</v>
      </c>
      <c r="D92" s="2" t="s">
        <v>25</v>
      </c>
      <c r="E92" s="2" t="n">
        <v>2</v>
      </c>
      <c r="F92" s="2" t="n">
        <v>2</v>
      </c>
      <c r="G92" s="2" t="n">
        <v>64</v>
      </c>
      <c r="H92" s="2" t="n">
        <v>34</v>
      </c>
      <c r="I92" s="3" t="n">
        <v>341.935</v>
      </c>
    </row>
    <row r="93" customFormat="false" ht="15" hidden="false" customHeight="false" outlineLevel="0" collapsed="false">
      <c r="A93" s="2" t="n">
        <v>8</v>
      </c>
      <c r="B93" s="2" t="s">
        <v>24</v>
      </c>
      <c r="C93" s="2" t="s">
        <v>24</v>
      </c>
      <c r="D93" s="2" t="s">
        <v>25</v>
      </c>
      <c r="E93" s="2" t="n">
        <v>2</v>
      </c>
      <c r="F93" s="2" t="n">
        <v>3</v>
      </c>
      <c r="G93" s="2" t="n">
        <v>64</v>
      </c>
      <c r="H93" s="2" t="n">
        <v>34</v>
      </c>
      <c r="I93" s="3" t="n">
        <v>325.178</v>
      </c>
    </row>
    <row r="94" customFormat="false" ht="15" hidden="false" customHeight="false" outlineLevel="0" collapsed="false">
      <c r="A94" s="2" t="n">
        <v>8</v>
      </c>
      <c r="B94" s="2" t="s">
        <v>24</v>
      </c>
      <c r="C94" s="2" t="s">
        <v>24</v>
      </c>
      <c r="D94" s="2" t="s">
        <v>25</v>
      </c>
      <c r="E94" s="2" t="n">
        <v>3</v>
      </c>
      <c r="F94" s="2" t="n">
        <v>0</v>
      </c>
      <c r="G94" s="2" t="n">
        <v>64</v>
      </c>
      <c r="H94" s="2" t="n">
        <v>34</v>
      </c>
      <c r="I94" s="3" t="n">
        <v>325.26</v>
      </c>
    </row>
    <row r="95" customFormat="false" ht="15" hidden="false" customHeight="false" outlineLevel="0" collapsed="false">
      <c r="A95" s="2" t="n">
        <v>8</v>
      </c>
      <c r="B95" s="2" t="s">
        <v>24</v>
      </c>
      <c r="C95" s="2" t="s">
        <v>24</v>
      </c>
      <c r="D95" s="2" t="s">
        <v>25</v>
      </c>
      <c r="E95" s="2" t="n">
        <v>3</v>
      </c>
      <c r="F95" s="2" t="n">
        <v>1</v>
      </c>
      <c r="G95" s="2" t="n">
        <v>64</v>
      </c>
      <c r="H95" s="2" t="n">
        <v>34</v>
      </c>
      <c r="I95" s="3" t="n">
        <v>337.505</v>
      </c>
    </row>
    <row r="96" customFormat="false" ht="15" hidden="false" customHeight="false" outlineLevel="0" collapsed="false">
      <c r="A96" s="2" t="n">
        <v>8</v>
      </c>
      <c r="B96" s="2" t="s">
        <v>24</v>
      </c>
      <c r="C96" s="2" t="s">
        <v>24</v>
      </c>
      <c r="D96" s="2" t="s">
        <v>25</v>
      </c>
      <c r="E96" s="2" t="n">
        <v>3</v>
      </c>
      <c r="F96" s="2" t="n">
        <v>2</v>
      </c>
      <c r="G96" s="2" t="n">
        <v>64</v>
      </c>
      <c r="H96" s="2" t="n">
        <v>34</v>
      </c>
      <c r="I96" s="3" t="n">
        <v>325.11</v>
      </c>
    </row>
    <row r="97" customFormat="false" ht="15" hidden="false" customHeight="false" outlineLevel="0" collapsed="false">
      <c r="A97" s="2" t="n">
        <v>8</v>
      </c>
      <c r="B97" s="2" t="s">
        <v>24</v>
      </c>
      <c r="C97" s="2" t="s">
        <v>24</v>
      </c>
      <c r="D97" s="2" t="s">
        <v>25</v>
      </c>
      <c r="E97" s="2" t="n">
        <v>3</v>
      </c>
      <c r="F97" s="2" t="n">
        <v>3</v>
      </c>
      <c r="G97" s="2" t="n">
        <v>64</v>
      </c>
      <c r="H97" s="2" t="n">
        <v>34</v>
      </c>
      <c r="I97" s="3" t="n">
        <v>325.243</v>
      </c>
    </row>
    <row r="98" customFormat="false" ht="15" hidden="false" customHeight="false" outlineLevel="0" collapsed="false">
      <c r="A98" s="2" t="n">
        <v>9</v>
      </c>
      <c r="B98" s="2" t="s">
        <v>26</v>
      </c>
      <c r="C98" s="2" t="s">
        <v>26</v>
      </c>
      <c r="D98" s="2" t="s">
        <v>27</v>
      </c>
      <c r="E98" s="2" t="n">
        <v>1</v>
      </c>
      <c r="F98" s="2" t="n">
        <v>0</v>
      </c>
      <c r="G98" s="2" t="n">
        <v>64</v>
      </c>
      <c r="H98" s="2" t="n">
        <v>47</v>
      </c>
      <c r="I98" s="3" t="n">
        <v>191.497</v>
      </c>
    </row>
    <row r="99" customFormat="false" ht="15" hidden="false" customHeight="false" outlineLevel="0" collapsed="false">
      <c r="A99" s="2" t="n">
        <v>9</v>
      </c>
      <c r="B99" s="2" t="s">
        <v>26</v>
      </c>
      <c r="C99" s="2" t="s">
        <v>26</v>
      </c>
      <c r="D99" s="2" t="s">
        <v>27</v>
      </c>
      <c r="E99" s="2" t="n">
        <v>1</v>
      </c>
      <c r="F99" s="2" t="n">
        <v>1</v>
      </c>
      <c r="G99" s="2" t="n">
        <v>64</v>
      </c>
      <c r="H99" s="2" t="n">
        <v>47</v>
      </c>
      <c r="I99" s="3" t="n">
        <v>195.053</v>
      </c>
    </row>
    <row r="100" customFormat="false" ht="15" hidden="false" customHeight="false" outlineLevel="0" collapsed="false">
      <c r="A100" s="2" t="n">
        <v>9</v>
      </c>
      <c r="B100" s="2" t="s">
        <v>26</v>
      </c>
      <c r="C100" s="2" t="s">
        <v>26</v>
      </c>
      <c r="D100" s="2" t="s">
        <v>27</v>
      </c>
      <c r="E100" s="2" t="n">
        <v>1</v>
      </c>
      <c r="F100" s="2" t="n">
        <v>2</v>
      </c>
      <c r="G100" s="2" t="n">
        <v>64</v>
      </c>
      <c r="H100" s="2" t="n">
        <v>47</v>
      </c>
      <c r="I100" s="3" t="n">
        <v>191.212</v>
      </c>
    </row>
    <row r="101" customFormat="false" ht="15" hidden="false" customHeight="false" outlineLevel="0" collapsed="false">
      <c r="A101" s="2" t="n">
        <v>9</v>
      </c>
      <c r="B101" s="2" t="s">
        <v>26</v>
      </c>
      <c r="C101" s="2" t="s">
        <v>26</v>
      </c>
      <c r="D101" s="2" t="s">
        <v>27</v>
      </c>
      <c r="E101" s="2" t="n">
        <v>1</v>
      </c>
      <c r="F101" s="2" t="n">
        <v>3</v>
      </c>
      <c r="G101" s="2" t="n">
        <v>64</v>
      </c>
      <c r="H101" s="2" t="n">
        <v>47</v>
      </c>
      <c r="I101" s="3" t="n">
        <v>190.588</v>
      </c>
    </row>
    <row r="102" customFormat="false" ht="15" hidden="false" customHeight="false" outlineLevel="0" collapsed="false">
      <c r="A102" s="2" t="n">
        <v>9</v>
      </c>
      <c r="B102" s="2" t="s">
        <v>26</v>
      </c>
      <c r="C102" s="2" t="s">
        <v>26</v>
      </c>
      <c r="D102" s="2" t="s">
        <v>27</v>
      </c>
      <c r="E102" s="2" t="n">
        <v>2</v>
      </c>
      <c r="F102" s="2" t="n">
        <v>0</v>
      </c>
      <c r="G102" s="2" t="n">
        <v>64</v>
      </c>
      <c r="H102" s="2" t="n">
        <v>47</v>
      </c>
      <c r="I102" s="3" t="n">
        <v>195.526</v>
      </c>
    </row>
    <row r="103" customFormat="false" ht="15" hidden="false" customHeight="false" outlineLevel="0" collapsed="false">
      <c r="A103" s="2" t="n">
        <v>9</v>
      </c>
      <c r="B103" s="2" t="s">
        <v>26</v>
      </c>
      <c r="C103" s="2" t="s">
        <v>26</v>
      </c>
      <c r="D103" s="2" t="s">
        <v>27</v>
      </c>
      <c r="E103" s="2" t="n">
        <v>2</v>
      </c>
      <c r="F103" s="2" t="n">
        <v>1</v>
      </c>
      <c r="G103" s="2" t="n">
        <v>64</v>
      </c>
      <c r="H103" s="2" t="n">
        <v>47</v>
      </c>
      <c r="I103" s="3" t="n">
        <v>196.429</v>
      </c>
    </row>
    <row r="104" customFormat="false" ht="15" hidden="false" customHeight="false" outlineLevel="0" collapsed="false">
      <c r="A104" s="2" t="n">
        <v>9</v>
      </c>
      <c r="B104" s="2" t="s">
        <v>26</v>
      </c>
      <c r="C104" s="2" t="s">
        <v>26</v>
      </c>
      <c r="D104" s="2" t="s">
        <v>27</v>
      </c>
      <c r="E104" s="2" t="n">
        <v>2</v>
      </c>
      <c r="F104" s="2" t="n">
        <v>2</v>
      </c>
      <c r="G104" s="2" t="n">
        <v>64</v>
      </c>
      <c r="H104" s="2" t="n">
        <v>47</v>
      </c>
      <c r="I104" s="3" t="n">
        <v>196.238</v>
      </c>
    </row>
    <row r="105" customFormat="false" ht="15" hidden="false" customHeight="false" outlineLevel="0" collapsed="false">
      <c r="A105" s="2" t="n">
        <v>9</v>
      </c>
      <c r="B105" s="2" t="s">
        <v>26</v>
      </c>
      <c r="C105" s="2" t="s">
        <v>26</v>
      </c>
      <c r="D105" s="2" t="s">
        <v>27</v>
      </c>
      <c r="E105" s="2" t="n">
        <v>2</v>
      </c>
      <c r="F105" s="2" t="n">
        <v>3</v>
      </c>
      <c r="G105" s="2" t="n">
        <v>64</v>
      </c>
      <c r="H105" s="2" t="n">
        <v>47</v>
      </c>
      <c r="I105" s="3" t="n">
        <v>192.074</v>
      </c>
    </row>
    <row r="106" customFormat="false" ht="15" hidden="false" customHeight="false" outlineLevel="0" collapsed="false">
      <c r="A106" s="2" t="n">
        <v>9</v>
      </c>
      <c r="B106" s="2" t="s">
        <v>26</v>
      </c>
      <c r="C106" s="2" t="s">
        <v>26</v>
      </c>
      <c r="D106" s="2" t="s">
        <v>27</v>
      </c>
      <c r="E106" s="2" t="n">
        <v>3</v>
      </c>
      <c r="F106" s="2" t="n">
        <v>0</v>
      </c>
      <c r="G106" s="2" t="n">
        <v>64</v>
      </c>
      <c r="H106" s="2" t="n">
        <v>47</v>
      </c>
      <c r="I106" s="3" t="n">
        <v>192.013</v>
      </c>
    </row>
    <row r="107" customFormat="false" ht="15" hidden="false" customHeight="false" outlineLevel="0" collapsed="false">
      <c r="A107" s="2" t="n">
        <v>9</v>
      </c>
      <c r="B107" s="2" t="s">
        <v>26</v>
      </c>
      <c r="C107" s="2" t="s">
        <v>26</v>
      </c>
      <c r="D107" s="2" t="s">
        <v>27</v>
      </c>
      <c r="E107" s="2" t="n">
        <v>3</v>
      </c>
      <c r="F107" s="2" t="n">
        <v>1</v>
      </c>
      <c r="G107" s="2" t="n">
        <v>64</v>
      </c>
      <c r="H107" s="2" t="n">
        <v>47</v>
      </c>
      <c r="I107" s="3" t="n">
        <v>192.488</v>
      </c>
    </row>
    <row r="108" customFormat="false" ht="15" hidden="false" customHeight="false" outlineLevel="0" collapsed="false">
      <c r="A108" s="2" t="n">
        <v>9</v>
      </c>
      <c r="B108" s="2" t="s">
        <v>26</v>
      </c>
      <c r="C108" s="2" t="s">
        <v>26</v>
      </c>
      <c r="D108" s="2" t="s">
        <v>27</v>
      </c>
      <c r="E108" s="2" t="n">
        <v>3</v>
      </c>
      <c r="F108" s="2" t="n">
        <v>2</v>
      </c>
      <c r="G108" s="2" t="n">
        <v>64</v>
      </c>
      <c r="H108" s="2" t="n">
        <v>47</v>
      </c>
      <c r="I108" s="3" t="n">
        <v>192.534</v>
      </c>
    </row>
    <row r="109" customFormat="false" ht="15" hidden="false" customHeight="false" outlineLevel="0" collapsed="false">
      <c r="A109" s="2" t="n">
        <v>9</v>
      </c>
      <c r="B109" s="2" t="s">
        <v>26</v>
      </c>
      <c r="C109" s="2" t="s">
        <v>26</v>
      </c>
      <c r="D109" s="2" t="s">
        <v>27</v>
      </c>
      <c r="E109" s="2" t="n">
        <v>3</v>
      </c>
      <c r="F109" s="2" t="n">
        <v>3</v>
      </c>
      <c r="G109" s="2" t="n">
        <v>64</v>
      </c>
      <c r="H109" s="2" t="n">
        <v>47</v>
      </c>
      <c r="I109" s="3" t="n">
        <v>190.827</v>
      </c>
    </row>
    <row r="110" customFormat="false" ht="15" hidden="false" customHeight="false" outlineLevel="0" collapsed="false">
      <c r="A110" s="2" t="n">
        <v>10</v>
      </c>
      <c r="B110" s="2" t="s">
        <v>28</v>
      </c>
      <c r="C110" s="2" t="s">
        <v>29</v>
      </c>
      <c r="D110" s="2" t="s">
        <v>30</v>
      </c>
      <c r="E110" s="2" t="n">
        <v>1</v>
      </c>
      <c r="F110" s="2" t="n">
        <v>0</v>
      </c>
      <c r="G110" s="2" t="n">
        <v>64</v>
      </c>
      <c r="H110" s="2" t="n">
        <v>50</v>
      </c>
      <c r="I110" s="3" t="n">
        <v>453.27</v>
      </c>
    </row>
    <row r="111" customFormat="false" ht="15" hidden="false" customHeight="false" outlineLevel="0" collapsed="false">
      <c r="A111" s="2" t="n">
        <v>10</v>
      </c>
      <c r="B111" s="2" t="s">
        <v>28</v>
      </c>
      <c r="C111" s="2" t="s">
        <v>29</v>
      </c>
      <c r="D111" s="2" t="s">
        <v>30</v>
      </c>
      <c r="E111" s="2" t="n">
        <v>1</v>
      </c>
      <c r="F111" s="2" t="n">
        <v>1</v>
      </c>
      <c r="G111" s="2" t="n">
        <v>64</v>
      </c>
      <c r="H111" s="2" t="n">
        <v>50</v>
      </c>
      <c r="I111" s="3" t="n">
        <v>475.908</v>
      </c>
    </row>
    <row r="112" customFormat="false" ht="15" hidden="false" customHeight="false" outlineLevel="0" collapsed="false">
      <c r="A112" s="2" t="n">
        <v>10</v>
      </c>
      <c r="B112" s="2" t="s">
        <v>28</v>
      </c>
      <c r="C112" s="2" t="s">
        <v>29</v>
      </c>
      <c r="D112" s="2" t="s">
        <v>30</v>
      </c>
      <c r="E112" s="2" t="n">
        <v>1</v>
      </c>
      <c r="F112" s="2" t="n">
        <v>2</v>
      </c>
      <c r="G112" s="2" t="n">
        <v>64</v>
      </c>
      <c r="H112" s="2" t="n">
        <v>50</v>
      </c>
      <c r="I112" s="3" t="n">
        <v>296.809</v>
      </c>
    </row>
    <row r="113" customFormat="false" ht="15" hidden="false" customHeight="false" outlineLevel="0" collapsed="false">
      <c r="A113" s="2" t="n">
        <v>10</v>
      </c>
      <c r="B113" s="2" t="s">
        <v>28</v>
      </c>
      <c r="C113" s="2" t="s">
        <v>29</v>
      </c>
      <c r="D113" s="2" t="s">
        <v>30</v>
      </c>
      <c r="E113" s="2" t="n">
        <v>1</v>
      </c>
      <c r="F113" s="2" t="n">
        <v>3</v>
      </c>
      <c r="G113" s="2" t="n">
        <v>64</v>
      </c>
      <c r="H113" s="2" t="n">
        <v>50</v>
      </c>
      <c r="I113" s="3" t="n">
        <v>315.623</v>
      </c>
    </row>
    <row r="114" customFormat="false" ht="15" hidden="false" customHeight="false" outlineLevel="0" collapsed="false">
      <c r="A114" s="2" t="n">
        <v>10</v>
      </c>
      <c r="B114" s="2" t="s">
        <v>28</v>
      </c>
      <c r="C114" s="2" t="s">
        <v>29</v>
      </c>
      <c r="D114" s="2" t="s">
        <v>30</v>
      </c>
      <c r="E114" s="2" t="n">
        <v>2</v>
      </c>
      <c r="F114" s="2" t="n">
        <v>0</v>
      </c>
      <c r="G114" s="2" t="n">
        <v>64</v>
      </c>
      <c r="H114" s="2" t="n">
        <v>50</v>
      </c>
      <c r="I114" s="3" t="n">
        <v>341.647</v>
      </c>
    </row>
    <row r="115" customFormat="false" ht="15" hidden="false" customHeight="false" outlineLevel="0" collapsed="false">
      <c r="A115" s="2" t="n">
        <v>10</v>
      </c>
      <c r="B115" s="2" t="s">
        <v>28</v>
      </c>
      <c r="C115" s="2" t="s">
        <v>29</v>
      </c>
      <c r="D115" s="2" t="s">
        <v>30</v>
      </c>
      <c r="E115" s="2" t="n">
        <v>2</v>
      </c>
      <c r="F115" s="2" t="n">
        <v>1</v>
      </c>
      <c r="G115" s="2" t="n">
        <v>64</v>
      </c>
      <c r="H115" s="2" t="n">
        <v>50</v>
      </c>
      <c r="I115" s="3" t="n">
        <v>287.294</v>
      </c>
    </row>
    <row r="116" customFormat="false" ht="15" hidden="false" customHeight="false" outlineLevel="0" collapsed="false">
      <c r="A116" s="2" t="n">
        <v>10</v>
      </c>
      <c r="B116" s="2" t="s">
        <v>28</v>
      </c>
      <c r="C116" s="2" t="s">
        <v>29</v>
      </c>
      <c r="D116" s="2" t="s">
        <v>30</v>
      </c>
      <c r="E116" s="2" t="n">
        <v>2</v>
      </c>
      <c r="F116" s="2" t="n">
        <v>2</v>
      </c>
      <c r="G116" s="2" t="n">
        <v>64</v>
      </c>
      <c r="H116" s="2" t="n">
        <v>50</v>
      </c>
      <c r="I116" s="3" t="n">
        <v>289.169</v>
      </c>
    </row>
    <row r="117" customFormat="false" ht="15" hidden="false" customHeight="false" outlineLevel="0" collapsed="false">
      <c r="A117" s="2" t="n">
        <v>10</v>
      </c>
      <c r="B117" s="2" t="s">
        <v>28</v>
      </c>
      <c r="C117" s="2" t="s">
        <v>29</v>
      </c>
      <c r="D117" s="2" t="s">
        <v>30</v>
      </c>
      <c r="E117" s="2" t="n">
        <v>2</v>
      </c>
      <c r="F117" s="2" t="n">
        <v>3</v>
      </c>
      <c r="G117" s="2" t="n">
        <v>64</v>
      </c>
      <c r="H117" s="2" t="n">
        <v>50</v>
      </c>
      <c r="I117" s="3" t="n">
        <v>295.491</v>
      </c>
    </row>
    <row r="118" customFormat="false" ht="15" hidden="false" customHeight="false" outlineLevel="0" collapsed="false">
      <c r="A118" s="2" t="n">
        <v>10</v>
      </c>
      <c r="B118" s="2" t="s">
        <v>28</v>
      </c>
      <c r="C118" s="2" t="s">
        <v>29</v>
      </c>
      <c r="D118" s="2" t="s">
        <v>30</v>
      </c>
      <c r="E118" s="2" t="n">
        <v>3</v>
      </c>
      <c r="F118" s="2" t="n">
        <v>0</v>
      </c>
      <c r="G118" s="2" t="n">
        <v>64</v>
      </c>
      <c r="H118" s="2" t="n">
        <v>50</v>
      </c>
      <c r="I118" s="3" t="n">
        <v>282.754</v>
      </c>
    </row>
    <row r="119" customFormat="false" ht="15" hidden="false" customHeight="false" outlineLevel="0" collapsed="false">
      <c r="A119" s="2" t="n">
        <v>10</v>
      </c>
      <c r="B119" s="2" t="s">
        <v>28</v>
      </c>
      <c r="C119" s="2" t="s">
        <v>29</v>
      </c>
      <c r="D119" s="2" t="s">
        <v>30</v>
      </c>
      <c r="E119" s="2" t="n">
        <v>3</v>
      </c>
      <c r="F119" s="2" t="n">
        <v>1</v>
      </c>
      <c r="G119" s="2" t="n">
        <v>64</v>
      </c>
      <c r="H119" s="2" t="n">
        <v>50</v>
      </c>
      <c r="I119" s="3" t="n">
        <v>315.623</v>
      </c>
    </row>
    <row r="120" customFormat="false" ht="15" hidden="false" customHeight="false" outlineLevel="0" collapsed="false">
      <c r="A120" s="2" t="n">
        <v>10</v>
      </c>
      <c r="B120" s="2" t="s">
        <v>28</v>
      </c>
      <c r="C120" s="2" t="s">
        <v>29</v>
      </c>
      <c r="D120" s="2" t="s">
        <v>30</v>
      </c>
      <c r="E120" s="2" t="n">
        <v>3</v>
      </c>
      <c r="F120" s="2" t="n">
        <v>2</v>
      </c>
      <c r="G120" s="2" t="n">
        <v>64</v>
      </c>
      <c r="H120" s="2" t="n">
        <v>50</v>
      </c>
      <c r="I120" s="3" t="n">
        <v>287.835</v>
      </c>
    </row>
    <row r="121" customFormat="false" ht="15" hidden="false" customHeight="false" outlineLevel="0" collapsed="false">
      <c r="A121" s="2" t="n">
        <v>10</v>
      </c>
      <c r="B121" s="2" t="s">
        <v>28</v>
      </c>
      <c r="C121" s="2" t="s">
        <v>29</v>
      </c>
      <c r="D121" s="2" t="s">
        <v>30</v>
      </c>
      <c r="E121" s="2" t="n">
        <v>3</v>
      </c>
      <c r="F121" s="2" t="n">
        <v>3</v>
      </c>
      <c r="G121" s="2" t="n">
        <v>64</v>
      </c>
      <c r="H121" s="2" t="n">
        <v>50</v>
      </c>
      <c r="I121" s="3" t="n">
        <v>353.514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30"/>
    <col collapsed="false" customWidth="true" hidden="false" outlineLevel="0" max="4" min="4" style="0" width="18"/>
    <col collapsed="false" customWidth="true" hidden="false" outlineLevel="0" max="5" min="5" style="0" width="7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11" min="9" style="0" width="12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</row>
    <row r="2" customFormat="false" ht="15" hidden="false" customHeight="false" outlineLevel="0" collapsed="false">
      <c r="A2" s="2" t="n">
        <v>1</v>
      </c>
      <c r="B2" s="2" t="s">
        <v>9</v>
      </c>
      <c r="C2" s="2" t="s">
        <v>10</v>
      </c>
      <c r="D2" s="2" t="s">
        <v>11</v>
      </c>
      <c r="E2" s="2" t="n">
        <v>1</v>
      </c>
      <c r="F2" s="2" t="n">
        <v>4</v>
      </c>
      <c r="G2" s="2" t="n">
        <v>4</v>
      </c>
      <c r="H2" s="4" t="n">
        <v>0</v>
      </c>
      <c r="I2" s="3" t="n">
        <v>323.385</v>
      </c>
      <c r="J2" s="3" t="n">
        <v>406.673</v>
      </c>
      <c r="K2" s="3" t="n">
        <v>489.509</v>
      </c>
      <c r="L2" s="3" t="n">
        <v>73.655</v>
      </c>
    </row>
    <row r="3" customFormat="false" ht="15" hidden="false" customHeight="false" outlineLevel="0" collapsed="false">
      <c r="A3" s="2" t="n">
        <v>1</v>
      </c>
      <c r="B3" s="2" t="s">
        <v>9</v>
      </c>
      <c r="C3" s="2" t="s">
        <v>10</v>
      </c>
      <c r="D3" s="2" t="s">
        <v>11</v>
      </c>
      <c r="E3" s="2" t="n">
        <v>2</v>
      </c>
      <c r="F3" s="2" t="n">
        <v>4</v>
      </c>
      <c r="G3" s="2" t="n">
        <v>4</v>
      </c>
      <c r="H3" s="4" t="n">
        <v>0</v>
      </c>
      <c r="I3" s="3" t="n">
        <v>310.689</v>
      </c>
      <c r="J3" s="3" t="n">
        <v>342.574</v>
      </c>
      <c r="K3" s="3" t="n">
        <v>373.521</v>
      </c>
      <c r="L3" s="3" t="n">
        <v>23.167</v>
      </c>
    </row>
    <row r="4" customFormat="false" ht="15" hidden="false" customHeight="false" outlineLevel="0" collapsed="false">
      <c r="A4" s="2" t="n">
        <v>1</v>
      </c>
      <c r="B4" s="2" t="s">
        <v>9</v>
      </c>
      <c r="C4" s="2" t="s">
        <v>10</v>
      </c>
      <c r="D4" s="2" t="s">
        <v>11</v>
      </c>
      <c r="E4" s="2" t="n">
        <v>3</v>
      </c>
      <c r="F4" s="2" t="n">
        <v>4</v>
      </c>
      <c r="G4" s="2" t="n">
        <v>4</v>
      </c>
      <c r="H4" s="4" t="n">
        <v>0</v>
      </c>
      <c r="I4" s="3" t="n">
        <v>323.581</v>
      </c>
      <c r="J4" s="3" t="n">
        <v>357.839</v>
      </c>
      <c r="K4" s="3" t="n">
        <v>401.844</v>
      </c>
      <c r="L4" s="3" t="n">
        <v>28.97</v>
      </c>
    </row>
    <row r="5" customFormat="false" ht="15" hidden="false" customHeight="false" outlineLevel="0" collapsed="false">
      <c r="A5" s="2" t="n">
        <v>2</v>
      </c>
      <c r="B5" s="2" t="s">
        <v>12</v>
      </c>
      <c r="C5" s="2" t="s">
        <v>12</v>
      </c>
      <c r="D5" s="2" t="s">
        <v>13</v>
      </c>
      <c r="E5" s="2" t="n">
        <v>1</v>
      </c>
      <c r="F5" s="2" t="n">
        <v>4</v>
      </c>
      <c r="G5" s="2" t="n">
        <v>4</v>
      </c>
      <c r="H5" s="4" t="n">
        <v>0</v>
      </c>
      <c r="I5" s="3" t="n">
        <v>280.9</v>
      </c>
      <c r="J5" s="3" t="n">
        <v>331.869</v>
      </c>
      <c r="K5" s="3" t="n">
        <v>389.726</v>
      </c>
      <c r="L5" s="3" t="n">
        <v>41.383</v>
      </c>
    </row>
    <row r="6" customFormat="false" ht="15" hidden="false" customHeight="false" outlineLevel="0" collapsed="false">
      <c r="A6" s="2" t="n">
        <v>2</v>
      </c>
      <c r="B6" s="2" t="s">
        <v>12</v>
      </c>
      <c r="C6" s="2" t="s">
        <v>12</v>
      </c>
      <c r="D6" s="2" t="s">
        <v>13</v>
      </c>
      <c r="E6" s="2" t="n">
        <v>2</v>
      </c>
      <c r="F6" s="2" t="n">
        <v>4</v>
      </c>
      <c r="G6" s="2" t="n">
        <v>4</v>
      </c>
      <c r="H6" s="4" t="n">
        <v>0</v>
      </c>
      <c r="I6" s="3" t="n">
        <v>284.299</v>
      </c>
      <c r="J6" s="3" t="n">
        <v>292.768</v>
      </c>
      <c r="K6" s="3" t="n">
        <v>310.441</v>
      </c>
      <c r="L6" s="3" t="n">
        <v>10.637</v>
      </c>
    </row>
    <row r="7" customFormat="false" ht="15" hidden="false" customHeight="false" outlineLevel="0" collapsed="false">
      <c r="A7" s="2" t="n">
        <v>2</v>
      </c>
      <c r="B7" s="2" t="s">
        <v>12</v>
      </c>
      <c r="C7" s="2" t="s">
        <v>12</v>
      </c>
      <c r="D7" s="2" t="s">
        <v>13</v>
      </c>
      <c r="E7" s="2" t="n">
        <v>3</v>
      </c>
      <c r="F7" s="2" t="n">
        <v>4</v>
      </c>
      <c r="G7" s="2" t="n">
        <v>4</v>
      </c>
      <c r="H7" s="4" t="n">
        <v>0</v>
      </c>
      <c r="I7" s="3" t="n">
        <v>313.697</v>
      </c>
      <c r="J7" s="3" t="n">
        <v>342.068</v>
      </c>
      <c r="K7" s="3" t="n">
        <v>370.486</v>
      </c>
      <c r="L7" s="3" t="n">
        <v>21.152</v>
      </c>
    </row>
    <row r="8" customFormat="false" ht="15" hidden="false" customHeight="false" outlineLevel="0" collapsed="false">
      <c r="A8" s="2" t="n">
        <v>3</v>
      </c>
      <c r="B8" s="2" t="s">
        <v>14</v>
      </c>
      <c r="C8" s="2" t="s">
        <v>14</v>
      </c>
      <c r="D8" s="2" t="s">
        <v>15</v>
      </c>
      <c r="E8" s="2" t="n">
        <v>1</v>
      </c>
      <c r="F8" s="2" t="n">
        <v>4</v>
      </c>
      <c r="G8" s="2" t="n">
        <v>4</v>
      </c>
      <c r="H8" s="4" t="n">
        <v>0</v>
      </c>
      <c r="I8" s="3" t="n">
        <v>303.36</v>
      </c>
      <c r="J8" s="3" t="n">
        <v>329.81</v>
      </c>
      <c r="K8" s="3" t="n">
        <v>363.234</v>
      </c>
      <c r="L8" s="3" t="n">
        <v>25.298</v>
      </c>
    </row>
    <row r="9" customFormat="false" ht="15" hidden="false" customHeight="false" outlineLevel="0" collapsed="false">
      <c r="A9" s="2" t="n">
        <v>3</v>
      </c>
      <c r="B9" s="2" t="s">
        <v>14</v>
      </c>
      <c r="C9" s="2" t="s">
        <v>14</v>
      </c>
      <c r="D9" s="2" t="s">
        <v>15</v>
      </c>
      <c r="E9" s="2" t="n">
        <v>2</v>
      </c>
      <c r="F9" s="2" t="n">
        <v>4</v>
      </c>
      <c r="G9" s="2" t="n">
        <v>4</v>
      </c>
      <c r="H9" s="4" t="n">
        <v>0</v>
      </c>
      <c r="I9" s="3" t="n">
        <v>302.182</v>
      </c>
      <c r="J9" s="3" t="n">
        <v>316.028</v>
      </c>
      <c r="K9" s="3" t="n">
        <v>338.643</v>
      </c>
      <c r="L9" s="3" t="n">
        <v>14.85</v>
      </c>
    </row>
    <row r="10" customFormat="false" ht="15" hidden="false" customHeight="false" outlineLevel="0" collapsed="false">
      <c r="A10" s="2" t="n">
        <v>3</v>
      </c>
      <c r="B10" s="2" t="s">
        <v>14</v>
      </c>
      <c r="C10" s="2" t="s">
        <v>14</v>
      </c>
      <c r="D10" s="2" t="s">
        <v>15</v>
      </c>
      <c r="E10" s="2" t="n">
        <v>3</v>
      </c>
      <c r="F10" s="2" t="n">
        <v>4</v>
      </c>
      <c r="G10" s="2" t="n">
        <v>4</v>
      </c>
      <c r="H10" s="4" t="n">
        <v>0</v>
      </c>
      <c r="I10" s="3" t="n">
        <v>302.931</v>
      </c>
      <c r="J10" s="3" t="n">
        <v>326.152</v>
      </c>
      <c r="K10" s="3" t="n">
        <v>379.141</v>
      </c>
      <c r="L10" s="3" t="n">
        <v>30.899</v>
      </c>
    </row>
    <row r="11" customFormat="false" ht="15" hidden="false" customHeight="false" outlineLevel="0" collapsed="false">
      <c r="A11" s="2" t="n">
        <v>4</v>
      </c>
      <c r="B11" s="2" t="s">
        <v>16</v>
      </c>
      <c r="C11" s="2" t="s">
        <v>16</v>
      </c>
      <c r="D11" s="2" t="s">
        <v>17</v>
      </c>
      <c r="E11" s="2" t="n">
        <v>1</v>
      </c>
      <c r="F11" s="2" t="n">
        <v>4</v>
      </c>
      <c r="G11" s="2" t="n">
        <v>4</v>
      </c>
      <c r="H11" s="4" t="n">
        <v>0</v>
      </c>
      <c r="I11" s="3" t="n">
        <v>325.757</v>
      </c>
      <c r="J11" s="3" t="n">
        <v>354.667</v>
      </c>
      <c r="K11" s="3" t="n">
        <v>383.288</v>
      </c>
      <c r="L11" s="3" t="n">
        <v>21.489</v>
      </c>
    </row>
    <row r="12" customFormat="false" ht="15" hidden="false" customHeight="false" outlineLevel="0" collapsed="false">
      <c r="A12" s="2" t="n">
        <v>4</v>
      </c>
      <c r="B12" s="2" t="s">
        <v>16</v>
      </c>
      <c r="C12" s="2" t="s">
        <v>16</v>
      </c>
      <c r="D12" s="2" t="s">
        <v>17</v>
      </c>
      <c r="E12" s="2" t="n">
        <v>2</v>
      </c>
      <c r="F12" s="2" t="n">
        <v>4</v>
      </c>
      <c r="G12" s="2" t="n">
        <v>4</v>
      </c>
      <c r="H12" s="4" t="n">
        <v>0</v>
      </c>
      <c r="I12" s="3" t="n">
        <v>336.553</v>
      </c>
      <c r="J12" s="3" t="n">
        <v>368.015</v>
      </c>
      <c r="K12" s="3" t="n">
        <v>398.892</v>
      </c>
      <c r="L12" s="3" t="n">
        <v>23.726</v>
      </c>
    </row>
    <row r="13" customFormat="false" ht="15" hidden="false" customHeight="false" outlineLevel="0" collapsed="false">
      <c r="A13" s="2" t="n">
        <v>4</v>
      </c>
      <c r="B13" s="2" t="s">
        <v>16</v>
      </c>
      <c r="C13" s="2" t="s">
        <v>16</v>
      </c>
      <c r="D13" s="2" t="s">
        <v>17</v>
      </c>
      <c r="E13" s="2" t="n">
        <v>3</v>
      </c>
      <c r="F13" s="2" t="n">
        <v>4</v>
      </c>
      <c r="G13" s="2" t="n">
        <v>4</v>
      </c>
      <c r="H13" s="4" t="n">
        <v>0</v>
      </c>
      <c r="I13" s="3" t="n">
        <v>309.479</v>
      </c>
      <c r="J13" s="3" t="n">
        <v>361.332</v>
      </c>
      <c r="K13" s="3" t="n">
        <v>397.973</v>
      </c>
      <c r="L13" s="3" t="n">
        <v>32.958</v>
      </c>
    </row>
    <row r="14" customFormat="false" ht="15" hidden="false" customHeight="false" outlineLevel="0" collapsed="false">
      <c r="A14" s="2" t="n">
        <v>5</v>
      </c>
      <c r="B14" s="2" t="s">
        <v>18</v>
      </c>
      <c r="C14" s="2" t="s">
        <v>18</v>
      </c>
      <c r="D14" s="2" t="s">
        <v>19</v>
      </c>
      <c r="E14" s="2" t="n">
        <v>1</v>
      </c>
      <c r="F14" s="2" t="n">
        <v>4</v>
      </c>
      <c r="G14" s="2" t="n">
        <v>4</v>
      </c>
      <c r="H14" s="4" t="n">
        <v>0</v>
      </c>
      <c r="I14" s="3" t="n">
        <v>294.59</v>
      </c>
      <c r="J14" s="3" t="n">
        <v>320.34</v>
      </c>
      <c r="K14" s="3" t="n">
        <v>360.514</v>
      </c>
      <c r="L14" s="3" t="n">
        <v>25.228</v>
      </c>
    </row>
    <row r="15" customFormat="false" ht="15" hidden="false" customHeight="false" outlineLevel="0" collapsed="false">
      <c r="A15" s="2" t="n">
        <v>5</v>
      </c>
      <c r="B15" s="2" t="s">
        <v>18</v>
      </c>
      <c r="C15" s="2" t="s">
        <v>18</v>
      </c>
      <c r="D15" s="2" t="s">
        <v>19</v>
      </c>
      <c r="E15" s="2" t="n">
        <v>2</v>
      </c>
      <c r="F15" s="2" t="n">
        <v>4</v>
      </c>
      <c r="G15" s="2" t="n">
        <v>4</v>
      </c>
      <c r="H15" s="4" t="n">
        <v>0</v>
      </c>
      <c r="I15" s="3" t="n">
        <v>312.455</v>
      </c>
      <c r="J15" s="3" t="n">
        <v>349.619</v>
      </c>
      <c r="K15" s="3" t="n">
        <v>395.802</v>
      </c>
      <c r="L15" s="3" t="n">
        <v>30.498</v>
      </c>
    </row>
    <row r="16" customFormat="false" ht="15" hidden="false" customHeight="false" outlineLevel="0" collapsed="false">
      <c r="A16" s="2" t="n">
        <v>5</v>
      </c>
      <c r="B16" s="2" t="s">
        <v>18</v>
      </c>
      <c r="C16" s="2" t="s">
        <v>18</v>
      </c>
      <c r="D16" s="2" t="s">
        <v>19</v>
      </c>
      <c r="E16" s="2" t="n">
        <v>3</v>
      </c>
      <c r="F16" s="2" t="n">
        <v>4</v>
      </c>
      <c r="G16" s="2" t="n">
        <v>4</v>
      </c>
      <c r="H16" s="4" t="n">
        <v>0</v>
      </c>
      <c r="I16" s="3" t="n">
        <v>330.131</v>
      </c>
      <c r="J16" s="3" t="n">
        <v>359.502</v>
      </c>
      <c r="K16" s="3" t="n">
        <v>389.968</v>
      </c>
      <c r="L16" s="3" t="n">
        <v>22.133</v>
      </c>
    </row>
    <row r="17" customFormat="false" ht="15" hidden="false" customHeight="false" outlineLevel="0" collapsed="false">
      <c r="A17" s="2" t="n">
        <v>6</v>
      </c>
      <c r="B17" s="2" t="s">
        <v>20</v>
      </c>
      <c r="C17" s="2" t="s">
        <v>20</v>
      </c>
      <c r="D17" s="2" t="s">
        <v>21</v>
      </c>
      <c r="E17" s="2" t="n">
        <v>1</v>
      </c>
      <c r="F17" s="2" t="n">
        <v>4</v>
      </c>
      <c r="G17" s="2" t="n">
        <v>4</v>
      </c>
      <c r="H17" s="4" t="n">
        <v>0</v>
      </c>
      <c r="I17" s="3" t="n">
        <v>308.254</v>
      </c>
      <c r="J17" s="3" t="n">
        <v>346.621</v>
      </c>
      <c r="K17" s="3" t="n">
        <v>394.541</v>
      </c>
      <c r="L17" s="3" t="n">
        <v>38.355</v>
      </c>
    </row>
    <row r="18" customFormat="false" ht="15" hidden="false" customHeight="false" outlineLevel="0" collapsed="false">
      <c r="A18" s="2" t="n">
        <v>6</v>
      </c>
      <c r="B18" s="2" t="s">
        <v>20</v>
      </c>
      <c r="C18" s="2" t="s">
        <v>20</v>
      </c>
      <c r="D18" s="2" t="s">
        <v>21</v>
      </c>
      <c r="E18" s="2" t="n">
        <v>2</v>
      </c>
      <c r="F18" s="2" t="n">
        <v>4</v>
      </c>
      <c r="G18" s="2" t="n">
        <v>4</v>
      </c>
      <c r="H18" s="4" t="n">
        <v>0</v>
      </c>
      <c r="I18" s="3" t="n">
        <v>307.373</v>
      </c>
      <c r="J18" s="3" t="n">
        <v>346.364</v>
      </c>
      <c r="K18" s="3" t="n">
        <v>380.658</v>
      </c>
      <c r="L18" s="3" t="n">
        <v>26.853</v>
      </c>
    </row>
    <row r="19" customFormat="false" ht="15" hidden="false" customHeight="false" outlineLevel="0" collapsed="false">
      <c r="A19" s="2" t="n">
        <v>6</v>
      </c>
      <c r="B19" s="2" t="s">
        <v>20</v>
      </c>
      <c r="C19" s="2" t="s">
        <v>20</v>
      </c>
      <c r="D19" s="2" t="s">
        <v>21</v>
      </c>
      <c r="E19" s="2" t="n">
        <v>3</v>
      </c>
      <c r="F19" s="2" t="n">
        <v>4</v>
      </c>
      <c r="G19" s="2" t="n">
        <v>4</v>
      </c>
      <c r="H19" s="4" t="n">
        <v>0</v>
      </c>
      <c r="I19" s="3" t="n">
        <v>307.918</v>
      </c>
      <c r="J19" s="3" t="n">
        <v>346.577</v>
      </c>
      <c r="K19" s="3" t="n">
        <v>384.572</v>
      </c>
      <c r="L19" s="3" t="n">
        <v>30.337</v>
      </c>
    </row>
    <row r="20" customFormat="false" ht="15" hidden="false" customHeight="false" outlineLevel="0" collapsed="false">
      <c r="A20" s="2" t="n">
        <v>7</v>
      </c>
      <c r="B20" s="2" t="s">
        <v>22</v>
      </c>
      <c r="C20" s="2" t="s">
        <v>22</v>
      </c>
      <c r="D20" s="2" t="s">
        <v>23</v>
      </c>
      <c r="E20" s="2" t="n">
        <v>1</v>
      </c>
      <c r="F20" s="2" t="n">
        <v>4</v>
      </c>
      <c r="G20" s="2" t="n">
        <v>4</v>
      </c>
      <c r="H20" s="4" t="n">
        <v>0</v>
      </c>
      <c r="I20" s="3" t="n">
        <v>267.539</v>
      </c>
      <c r="J20" s="3" t="n">
        <v>299.773</v>
      </c>
      <c r="K20" s="3" t="n">
        <v>342.463</v>
      </c>
      <c r="L20" s="3" t="n">
        <v>27.713</v>
      </c>
    </row>
    <row r="21" customFormat="false" ht="15" hidden="false" customHeight="false" outlineLevel="0" collapsed="false">
      <c r="A21" s="2" t="n">
        <v>7</v>
      </c>
      <c r="B21" s="2" t="s">
        <v>22</v>
      </c>
      <c r="C21" s="2" t="s">
        <v>22</v>
      </c>
      <c r="D21" s="2" t="s">
        <v>23</v>
      </c>
      <c r="E21" s="2" t="n">
        <v>2</v>
      </c>
      <c r="F21" s="2" t="n">
        <v>4</v>
      </c>
      <c r="G21" s="2" t="n">
        <v>4</v>
      </c>
      <c r="H21" s="4" t="n">
        <v>0</v>
      </c>
      <c r="I21" s="3" t="n">
        <v>268.11</v>
      </c>
      <c r="J21" s="3" t="n">
        <v>313.233</v>
      </c>
      <c r="K21" s="3" t="n">
        <v>366.067</v>
      </c>
      <c r="L21" s="3" t="n">
        <v>43.912</v>
      </c>
    </row>
    <row r="22" customFormat="false" ht="15" hidden="false" customHeight="false" outlineLevel="0" collapsed="false">
      <c r="A22" s="2" t="n">
        <v>7</v>
      </c>
      <c r="B22" s="2" t="s">
        <v>22</v>
      </c>
      <c r="C22" s="2" t="s">
        <v>22</v>
      </c>
      <c r="D22" s="2" t="s">
        <v>23</v>
      </c>
      <c r="E22" s="2" t="n">
        <v>3</v>
      </c>
      <c r="F22" s="2" t="n">
        <v>4</v>
      </c>
      <c r="G22" s="2" t="n">
        <v>4</v>
      </c>
      <c r="H22" s="4" t="n">
        <v>0</v>
      </c>
      <c r="I22" s="3" t="n">
        <v>283.659</v>
      </c>
      <c r="J22" s="3" t="n">
        <v>342.31</v>
      </c>
      <c r="K22" s="3" t="n">
        <v>450.399</v>
      </c>
      <c r="L22" s="3" t="n">
        <v>64.395</v>
      </c>
    </row>
    <row r="23" customFormat="false" ht="15" hidden="false" customHeight="false" outlineLevel="0" collapsed="false">
      <c r="A23" s="2" t="n">
        <v>8</v>
      </c>
      <c r="B23" s="2" t="s">
        <v>24</v>
      </c>
      <c r="C23" s="2" t="s">
        <v>24</v>
      </c>
      <c r="D23" s="2" t="s">
        <v>25</v>
      </c>
      <c r="E23" s="2" t="n">
        <v>1</v>
      </c>
      <c r="F23" s="2" t="n">
        <v>4</v>
      </c>
      <c r="G23" s="2" t="n">
        <v>4</v>
      </c>
      <c r="H23" s="4" t="n">
        <v>0</v>
      </c>
      <c r="I23" s="3" t="n">
        <v>325.073</v>
      </c>
      <c r="J23" s="3" t="n">
        <v>358.571</v>
      </c>
      <c r="K23" s="3" t="n">
        <v>430.035</v>
      </c>
      <c r="L23" s="3" t="n">
        <v>42.076</v>
      </c>
    </row>
    <row r="24" customFormat="false" ht="15" hidden="false" customHeight="false" outlineLevel="0" collapsed="false">
      <c r="A24" s="2" t="n">
        <v>8</v>
      </c>
      <c r="B24" s="2" t="s">
        <v>24</v>
      </c>
      <c r="C24" s="2" t="s">
        <v>24</v>
      </c>
      <c r="D24" s="2" t="s">
        <v>25</v>
      </c>
      <c r="E24" s="2" t="n">
        <v>2</v>
      </c>
      <c r="F24" s="2" t="n">
        <v>4</v>
      </c>
      <c r="G24" s="2" t="n">
        <v>4</v>
      </c>
      <c r="H24" s="4" t="n">
        <v>0</v>
      </c>
      <c r="I24" s="3" t="n">
        <v>325.178</v>
      </c>
      <c r="J24" s="3" t="n">
        <v>374.309</v>
      </c>
      <c r="K24" s="3" t="n">
        <v>424.896</v>
      </c>
      <c r="L24" s="3" t="n">
        <v>41.764</v>
      </c>
    </row>
    <row r="25" customFormat="false" ht="15" hidden="false" customHeight="false" outlineLevel="0" collapsed="false">
      <c r="A25" s="2" t="n">
        <v>8</v>
      </c>
      <c r="B25" s="2" t="s">
        <v>24</v>
      </c>
      <c r="C25" s="2" t="s">
        <v>24</v>
      </c>
      <c r="D25" s="2" t="s">
        <v>25</v>
      </c>
      <c r="E25" s="2" t="n">
        <v>3</v>
      </c>
      <c r="F25" s="2" t="n">
        <v>4</v>
      </c>
      <c r="G25" s="2" t="n">
        <v>4</v>
      </c>
      <c r="H25" s="4" t="n">
        <v>0</v>
      </c>
      <c r="I25" s="3" t="n">
        <v>325.11</v>
      </c>
      <c r="J25" s="3" t="n">
        <v>328.279</v>
      </c>
      <c r="K25" s="3" t="n">
        <v>337.505</v>
      </c>
      <c r="L25" s="3" t="n">
        <v>5.327</v>
      </c>
    </row>
    <row r="26" customFormat="false" ht="15" hidden="false" customHeight="false" outlineLevel="0" collapsed="false">
      <c r="A26" s="2" t="n">
        <v>9</v>
      </c>
      <c r="B26" s="2" t="s">
        <v>26</v>
      </c>
      <c r="C26" s="2" t="s">
        <v>26</v>
      </c>
      <c r="D26" s="2" t="s">
        <v>27</v>
      </c>
      <c r="E26" s="2" t="n">
        <v>1</v>
      </c>
      <c r="F26" s="2" t="n">
        <v>4</v>
      </c>
      <c r="G26" s="2" t="n">
        <v>4</v>
      </c>
      <c r="H26" s="4" t="n">
        <v>0</v>
      </c>
      <c r="I26" s="3" t="n">
        <v>190.588</v>
      </c>
      <c r="J26" s="3" t="n">
        <v>192.087</v>
      </c>
      <c r="K26" s="3" t="n">
        <v>195.053</v>
      </c>
      <c r="L26" s="3" t="n">
        <v>1.743</v>
      </c>
    </row>
    <row r="27" customFormat="false" ht="15" hidden="false" customHeight="false" outlineLevel="0" collapsed="false">
      <c r="A27" s="2" t="n">
        <v>9</v>
      </c>
      <c r="B27" s="2" t="s">
        <v>26</v>
      </c>
      <c r="C27" s="2" t="s">
        <v>26</v>
      </c>
      <c r="D27" s="2" t="s">
        <v>27</v>
      </c>
      <c r="E27" s="2" t="n">
        <v>2</v>
      </c>
      <c r="F27" s="2" t="n">
        <v>4</v>
      </c>
      <c r="G27" s="2" t="n">
        <v>4</v>
      </c>
      <c r="H27" s="4" t="n">
        <v>0</v>
      </c>
      <c r="I27" s="3" t="n">
        <v>192.074</v>
      </c>
      <c r="J27" s="3" t="n">
        <v>195.067</v>
      </c>
      <c r="K27" s="3" t="n">
        <v>196.429</v>
      </c>
      <c r="L27" s="3" t="n">
        <v>1.759</v>
      </c>
    </row>
    <row r="28" customFormat="false" ht="15" hidden="false" customHeight="false" outlineLevel="0" collapsed="false">
      <c r="A28" s="2" t="n">
        <v>9</v>
      </c>
      <c r="B28" s="2" t="s">
        <v>26</v>
      </c>
      <c r="C28" s="2" t="s">
        <v>26</v>
      </c>
      <c r="D28" s="2" t="s">
        <v>27</v>
      </c>
      <c r="E28" s="2" t="n">
        <v>3</v>
      </c>
      <c r="F28" s="2" t="n">
        <v>4</v>
      </c>
      <c r="G28" s="2" t="n">
        <v>4</v>
      </c>
      <c r="H28" s="4" t="n">
        <v>0</v>
      </c>
      <c r="I28" s="3" t="n">
        <v>190.827</v>
      </c>
      <c r="J28" s="3" t="n">
        <v>191.965</v>
      </c>
      <c r="K28" s="3" t="n">
        <v>192.534</v>
      </c>
      <c r="L28" s="3" t="n">
        <v>0.688</v>
      </c>
    </row>
    <row r="29" customFormat="false" ht="15" hidden="false" customHeight="false" outlineLevel="0" collapsed="false">
      <c r="A29" s="2" t="n">
        <v>10</v>
      </c>
      <c r="B29" s="2" t="s">
        <v>28</v>
      </c>
      <c r="C29" s="2" t="s">
        <v>29</v>
      </c>
      <c r="D29" s="2" t="s">
        <v>30</v>
      </c>
      <c r="E29" s="2" t="n">
        <v>1</v>
      </c>
      <c r="F29" s="2" t="n">
        <v>4</v>
      </c>
      <c r="G29" s="2" t="n">
        <v>4</v>
      </c>
      <c r="H29" s="4" t="n">
        <v>0</v>
      </c>
      <c r="I29" s="3" t="n">
        <v>296.809</v>
      </c>
      <c r="J29" s="3" t="n">
        <v>385.403</v>
      </c>
      <c r="K29" s="3" t="n">
        <v>475.908</v>
      </c>
      <c r="L29" s="3" t="n">
        <v>79.867</v>
      </c>
    </row>
    <row r="30" customFormat="false" ht="15" hidden="false" customHeight="false" outlineLevel="0" collapsed="false">
      <c r="A30" s="2" t="n">
        <v>10</v>
      </c>
      <c r="B30" s="2" t="s">
        <v>28</v>
      </c>
      <c r="C30" s="2" t="s">
        <v>29</v>
      </c>
      <c r="D30" s="2" t="s">
        <v>30</v>
      </c>
      <c r="E30" s="2" t="n">
        <v>2</v>
      </c>
      <c r="F30" s="2" t="n">
        <v>4</v>
      </c>
      <c r="G30" s="2" t="n">
        <v>4</v>
      </c>
      <c r="H30" s="4" t="n">
        <v>0</v>
      </c>
      <c r="I30" s="3" t="n">
        <v>287.294</v>
      </c>
      <c r="J30" s="3" t="n">
        <v>303.4</v>
      </c>
      <c r="K30" s="3" t="n">
        <v>341.647</v>
      </c>
      <c r="L30" s="3" t="n">
        <v>22.29</v>
      </c>
    </row>
    <row r="31" customFormat="false" ht="15" hidden="false" customHeight="false" outlineLevel="0" collapsed="false">
      <c r="A31" s="2" t="n">
        <v>10</v>
      </c>
      <c r="B31" s="2" t="s">
        <v>28</v>
      </c>
      <c r="C31" s="2" t="s">
        <v>29</v>
      </c>
      <c r="D31" s="2" t="s">
        <v>30</v>
      </c>
      <c r="E31" s="2" t="n">
        <v>3</v>
      </c>
      <c r="F31" s="2" t="n">
        <v>4</v>
      </c>
      <c r="G31" s="2" t="n">
        <v>4</v>
      </c>
      <c r="H31" s="4" t="n">
        <v>0</v>
      </c>
      <c r="I31" s="3" t="n">
        <v>282.754</v>
      </c>
      <c r="J31" s="3" t="n">
        <v>309.932</v>
      </c>
      <c r="K31" s="3" t="n">
        <v>353.514</v>
      </c>
      <c r="L31" s="3" t="n">
        <v>28.101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8"/>
  </cols>
  <sheetData>
    <row r="1" customFormat="false" ht="15" hidden="false" customHeight="false" outlineLevel="0" collapsed="false">
      <c r="A1" s="5" t="s">
        <v>38</v>
      </c>
      <c r="B1" s="5"/>
      <c r="C1" s="5"/>
      <c r="D1" s="5"/>
      <c r="E1" s="5"/>
      <c r="F1" s="5"/>
      <c r="G1" s="5"/>
      <c r="H1" s="5"/>
    </row>
    <row r="2" customFormat="false" ht="15" hidden="false" customHeight="false" outlineLevel="0" collapsed="false">
      <c r="A2" s="6" t="s">
        <v>39</v>
      </c>
      <c r="B2" s="6"/>
      <c r="C2" s="6"/>
      <c r="D2" s="6"/>
      <c r="E2" s="6"/>
      <c r="F2" s="6"/>
      <c r="G2" s="6"/>
      <c r="H2" s="6"/>
    </row>
    <row r="3" customFormat="false" ht="15" hidden="false" customHeight="false" outlineLevel="0" collapsed="false">
      <c r="A3" s="1" t="s">
        <v>0</v>
      </c>
      <c r="B3" s="1" t="s">
        <v>40</v>
      </c>
      <c r="C3" s="1" t="s">
        <v>3</v>
      </c>
      <c r="D3" s="1" t="s">
        <v>41</v>
      </c>
      <c r="E3" s="1" t="s">
        <v>42</v>
      </c>
      <c r="F3" s="1" t="s">
        <v>43</v>
      </c>
      <c r="G3" s="1" t="s">
        <v>44</v>
      </c>
      <c r="H3" s="1" t="s">
        <v>45</v>
      </c>
    </row>
    <row r="4" customFormat="false" ht="15" hidden="false" customHeight="false" outlineLevel="0" collapsed="false">
      <c r="A4" s="2" t="n">
        <v>1</v>
      </c>
      <c r="B4" s="7" t="s">
        <v>9</v>
      </c>
      <c r="C4" s="7" t="s">
        <v>11</v>
      </c>
      <c r="D4" s="8" t="n">
        <v>14155</v>
      </c>
      <c r="E4" s="9" t="n">
        <f aca="false">AVERAGE(Packets!I2:I13)</f>
        <v>369.028333333333</v>
      </c>
      <c r="F4" s="9" t="n">
        <f aca="false">SQRT( SUMPRODUCT( (Packets!I2:I13 - AVERAGE(Packets!I2:I13))^2 ) / (COUNT(Packets!I2:I13) - 1) )</f>
        <v>57.3446769842175</v>
      </c>
      <c r="G4" s="2" t="n">
        <v>12</v>
      </c>
      <c r="H4" s="2" t="s">
        <v>46</v>
      </c>
    </row>
    <row r="5" customFormat="false" ht="15" hidden="false" customHeight="false" outlineLevel="0" collapsed="false">
      <c r="A5" s="2" t="n">
        <v>2</v>
      </c>
      <c r="B5" s="7" t="s">
        <v>12</v>
      </c>
      <c r="C5" s="7" t="s">
        <v>13</v>
      </c>
      <c r="D5" s="8" t="n">
        <v>16321</v>
      </c>
      <c r="E5" s="9" t="n">
        <f aca="false">AVERAGE(Packets!I14:I25)</f>
        <v>322.234666666667</v>
      </c>
      <c r="F5" s="9" t="n">
        <f aca="false">SQRT( SUMPRODUCT( (Packets!I14:I25 - AVERAGE(Packets!I14:I25))^2 ) / (COUNT(Packets!I14:I25) - 1) )</f>
        <v>36.31967972259</v>
      </c>
      <c r="G5" s="2" t="n">
        <v>12</v>
      </c>
      <c r="H5" s="2" t="s">
        <v>47</v>
      </c>
    </row>
    <row r="6" customFormat="false" ht="15" hidden="false" customHeight="false" outlineLevel="0" collapsed="false">
      <c r="A6" s="2" t="n">
        <v>3</v>
      </c>
      <c r="B6" s="7" t="s">
        <v>14</v>
      </c>
      <c r="C6" s="7" t="s">
        <v>15</v>
      </c>
      <c r="D6" s="8" t="n">
        <v>16321</v>
      </c>
      <c r="E6" s="9" t="n">
        <f aca="false">AVERAGE(Packets!I26:I37)</f>
        <v>323.9965</v>
      </c>
      <c r="F6" s="9" t="n">
        <f aca="false">SQRT( SUMPRODUCT( (Packets!I26:I37 - AVERAGE(Packets!I26:I37))^2 ) / (COUNT(Packets!I26:I37) - 1) )</f>
        <v>26.4040882182355</v>
      </c>
      <c r="G6" s="2" t="n">
        <v>12</v>
      </c>
      <c r="H6" s="2" t="s">
        <v>48</v>
      </c>
    </row>
    <row r="7" customFormat="false" ht="15" hidden="false" customHeight="false" outlineLevel="0" collapsed="false">
      <c r="A7" s="2" t="n">
        <v>4</v>
      </c>
      <c r="B7" s="7" t="s">
        <v>16</v>
      </c>
      <c r="C7" s="7" t="s">
        <v>17</v>
      </c>
      <c r="D7" s="8" t="n">
        <v>15636</v>
      </c>
      <c r="E7" s="9" t="n">
        <f aca="false">AVERAGE(Packets!I38:I49)</f>
        <v>361.337916666667</v>
      </c>
      <c r="F7" s="9" t="n">
        <f aca="false">SQRT( SUMPRODUCT( (Packets!I38:I49 - AVERAGE(Packets!I38:I49))^2 ) / (COUNT(Packets!I38:I49) - 1) )</f>
        <v>28.2845883395513</v>
      </c>
      <c r="G7" s="2" t="n">
        <v>12</v>
      </c>
      <c r="H7" s="2" t="s">
        <v>49</v>
      </c>
    </row>
    <row r="8" customFormat="false" ht="15" hidden="false" customHeight="false" outlineLevel="0" collapsed="false">
      <c r="A8" s="2" t="n">
        <v>5</v>
      </c>
      <c r="B8" s="7" t="s">
        <v>18</v>
      </c>
      <c r="C8" s="7" t="s">
        <v>19</v>
      </c>
      <c r="D8" s="8" t="n">
        <v>15207</v>
      </c>
      <c r="E8" s="9" t="n">
        <f aca="false">AVERAGE(Packets!I50:I61)</f>
        <v>343.15375</v>
      </c>
      <c r="F8" s="9" t="n">
        <f aca="false">SQRT( SUMPRODUCT( (Packets!I50:I61 - AVERAGE(Packets!I50:I61))^2 ) / (COUNT(Packets!I50:I61) - 1) )</f>
        <v>32.3952307379988</v>
      </c>
      <c r="G8" s="2" t="n">
        <v>12</v>
      </c>
      <c r="H8" s="2" t="s">
        <v>50</v>
      </c>
    </row>
    <row r="9" customFormat="false" ht="15" hidden="false" customHeight="false" outlineLevel="0" collapsed="false">
      <c r="A9" s="2" t="n">
        <v>6</v>
      </c>
      <c r="B9" s="7" t="s">
        <v>20</v>
      </c>
      <c r="C9" s="7" t="s">
        <v>21</v>
      </c>
      <c r="D9" s="8" t="n">
        <v>16292</v>
      </c>
      <c r="E9" s="9" t="n">
        <f aca="false">AVERAGE(Packets!I62:I73)</f>
        <v>346.52075</v>
      </c>
      <c r="F9" s="9" t="n">
        <f aca="false">SQRT( SUMPRODUCT( (Packets!I62:I73 - AVERAGE(Packets!I62:I73))^2 ) / (COUNT(Packets!I62:I73) - 1) )</f>
        <v>33.6428458290507</v>
      </c>
      <c r="G9" s="2" t="n">
        <v>12</v>
      </c>
      <c r="H9" s="2" t="s">
        <v>51</v>
      </c>
    </row>
    <row r="10" customFormat="false" ht="15" hidden="false" customHeight="false" outlineLevel="0" collapsed="false">
      <c r="A10" s="2" t="n">
        <v>7</v>
      </c>
      <c r="B10" s="7" t="s">
        <v>22</v>
      </c>
      <c r="C10" s="7" t="s">
        <v>23</v>
      </c>
      <c r="D10" s="8" t="n">
        <v>17761</v>
      </c>
      <c r="E10" s="9" t="n">
        <f aca="false">AVERAGE(Packets!I74:I85)</f>
        <v>318.438583333333</v>
      </c>
      <c r="F10" s="9" t="n">
        <f aca="false">SQRT( SUMPRODUCT( (Packets!I74:I85 - AVERAGE(Packets!I74:I85))^2 ) / (COUNT(Packets!I74:I85) - 1) )</f>
        <v>53.2180664871319</v>
      </c>
      <c r="G10" s="2" t="n">
        <v>12</v>
      </c>
      <c r="H10" s="2" t="s">
        <v>52</v>
      </c>
    </row>
    <row r="11" customFormat="false" ht="15" hidden="false" customHeight="false" outlineLevel="0" collapsed="false">
      <c r="A11" s="2" t="n">
        <v>8</v>
      </c>
      <c r="B11" s="7" t="s">
        <v>24</v>
      </c>
      <c r="C11" s="7" t="s">
        <v>25</v>
      </c>
      <c r="D11" s="8" t="n">
        <v>13621</v>
      </c>
      <c r="E11" s="9" t="n">
        <f aca="false">AVERAGE(Packets!I86:I97)</f>
        <v>353.719833333333</v>
      </c>
      <c r="F11" s="9" t="n">
        <f aca="false">SQRT( SUMPRODUCT( (Packets!I86:I97 - AVERAGE(Packets!I86:I97))^2 ) / (COUNT(Packets!I86:I97) - 1) )</f>
        <v>41.0661263193741</v>
      </c>
      <c r="G11" s="2" t="n">
        <v>12</v>
      </c>
      <c r="H11" s="2" t="s">
        <v>53</v>
      </c>
    </row>
    <row r="12" customFormat="false" ht="15" hidden="false" customHeight="false" outlineLevel="0" collapsed="false">
      <c r="A12" s="2" t="n">
        <v>9</v>
      </c>
      <c r="B12" s="7" t="s">
        <v>26</v>
      </c>
      <c r="C12" s="7" t="s">
        <v>27</v>
      </c>
      <c r="D12" s="8" t="n">
        <v>14482</v>
      </c>
      <c r="E12" s="9" t="n">
        <f aca="false">AVERAGE(Packets!I98:I109)</f>
        <v>193.039916666667</v>
      </c>
      <c r="F12" s="9" t="n">
        <f aca="false">SQRT( SUMPRODUCT( (Packets!I98:I109 - AVERAGE(Packets!I98:I109))^2 ) / (COUNT(Packets!I98:I109) - 1) )</f>
        <v>2.15587191634776</v>
      </c>
      <c r="G12" s="2" t="n">
        <v>12</v>
      </c>
      <c r="H12" s="2" t="s">
        <v>54</v>
      </c>
    </row>
    <row r="13" customFormat="false" ht="15" hidden="false" customHeight="false" outlineLevel="0" collapsed="false">
      <c r="A13" s="2" t="n">
        <v>10</v>
      </c>
      <c r="B13" s="7" t="s">
        <v>28</v>
      </c>
      <c r="C13" s="7" t="s">
        <v>30</v>
      </c>
      <c r="D13" s="8" t="n">
        <v>12679</v>
      </c>
      <c r="E13" s="9" t="n">
        <f aca="false">AVERAGE(Packets!I110:I121)</f>
        <v>332.911416666667</v>
      </c>
      <c r="F13" s="9" t="n">
        <f aca="false">SQRT( SUMPRODUCT( (Packets!I110:I121 - AVERAGE(Packets!I110:I121))^2 ) / (COUNT(Packets!I110:I121) - 1) )</f>
        <v>65.5594362966757</v>
      </c>
      <c r="G13" s="2" t="n">
        <v>12</v>
      </c>
      <c r="H13" s="2" t="s">
        <v>55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2026-04-22T12:05:39Z</dcterms:created>
  <dc:creator>openpyxl</dc:creator>
  <dc:description/>
  <dc:language>en-US</dc:language>
  <cp:lastModifiedBy/>
  <dcterms:modified xsi:type="dcterms:W3CDTF">2026-04-22T12:30:18Z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