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000" windowHeight="12540" tabRatio="500" activeTab="1"/>
  </bookViews>
  <sheets>
    <sheet name="Runs" sheetId="1" r:id="rId1"/>
    <sheet name="HostSummary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<sst xmlns="http://schemas.openxmlformats.org/spreadsheetml/2006/main" count="202" uniqueCount="76">
  <si>
    <t>Host #</t>
  </si>
  <si>
    <t>Hostname</t>
  </si>
  <si>
    <t>Resolved IP</t>
  </si>
  <si>
    <t>Country/Region</t>
  </si>
  <si>
    <t>Run #</t>
  </si>
  <si>
    <t>Command</t>
  </si>
  <si>
    <t>Interval (sec)</t>
  </si>
  <si>
    <t>Transfer (MBytes)</t>
  </si>
  <si>
    <t>Bandwidth (Mbits/sec)</t>
  </si>
  <si>
    <t>Notes</t>
  </si>
  <si>
    <t>speedtest.awbb.net</t>
  </si>
  <si>
    <t>104.245.79.230</t>
  </si>
  <si>
    <t>USA (TX)</t>
  </si>
  <si>
    <t>iperf -c speedtest.awbb.net -p 80</t>
  </si>
  <si>
    <t>0.00-10.01</t>
  </si>
  <si>
    <t>spd-desrv.hostkey.com</t>
  </si>
  <si>
    <t>185.84.224.68</t>
  </si>
  <si>
    <t>Germany</t>
  </si>
  <si>
    <t>iperf -c spd-desrv.hostkey.com -p 80</t>
  </si>
  <si>
    <t>0.00-10.02</t>
  </si>
  <si>
    <t>speedtest.wobcom.de</t>
  </si>
  <si>
    <t>62.176.224.217</t>
  </si>
  <si>
    <t>iperf -c speedtest.wobcom.de -p 80</t>
  </si>
  <si>
    <t>0.00-10.00</t>
  </si>
  <si>
    <t>rychlost.poda.cz</t>
  </si>
  <si>
    <t>85.135.13.2</t>
  </si>
  <si>
    <t>Czech Republic</t>
  </si>
  <si>
    <t>iperf -c rychlost.poda.cz -p 80</t>
  </si>
  <si>
    <t>Anomalous low throughput — likely server-side congestion</t>
  </si>
  <si>
    <t>spd-fisrv.hostkey.com</t>
  </si>
  <si>
    <t>212.237.217.41</t>
  </si>
  <si>
    <t>Finland</t>
  </si>
  <si>
    <t>iperf -c spd-fisrv.hostkey.com -p 80</t>
  </si>
  <si>
    <t>0.00-10.03</t>
  </si>
  <si>
    <t>speed.itgate.net</t>
  </si>
  <si>
    <t>213.212.129.36</t>
  </si>
  <si>
    <t>Italy</t>
  </si>
  <si>
    <t>iperf -c speed.itgate.net -p 80</t>
  </si>
  <si>
    <t>0.00-11.26</t>
  </si>
  <si>
    <t>Anomalous: connection took 11.26s to transfer only 1.50 MB</t>
  </si>
  <si>
    <t>0.00-10.05</t>
  </si>
  <si>
    <t>porto.speedtest.net.zon.pt</t>
  </si>
  <si>
    <t>95.95.252.95</t>
  </si>
  <si>
    <t>Portugal (Lisbon)</t>
  </si>
  <si>
    <t>iperf -c porto.speedtest.net.zon.pt -p 80</t>
  </si>
  <si>
    <t>0.00-10.04</t>
  </si>
  <si>
    <t>0.00-10.14</t>
  </si>
  <si>
    <t>speedtest.masnet.ec</t>
  </si>
  <si>
    <t>170.83.216.19</t>
  </si>
  <si>
    <t>Ecuador</t>
  </si>
  <si>
    <t>iperf -c speedtest.masnet.ec -p 80</t>
  </si>
  <si>
    <t>0.00-10.34</t>
  </si>
  <si>
    <t>dal.speedtest.clouvider.net</t>
  </si>
  <si>
    <t>2.56.188.136</t>
  </si>
  <si>
    <t>USA (Dallas)</t>
  </si>
  <si>
    <t>iperf -c dal.speedtest.clouvider.net -p 80</t>
  </si>
  <si>
    <t>iperf.he.net</t>
  </si>
  <si>
    <t>216.218.207.42</t>
  </si>
  <si>
    <t>USA (Fremont)</t>
  </si>
  <si>
    <t>iperf3 -c iperf.he.net -R</t>
  </si>
  <si>
    <t>Reverse mode (receiver); forward mode refused</t>
  </si>
  <si>
    <t>Reverse mode (receiver)</t>
  </si>
  <si>
    <t>Distance (km)</t>
  </si>
  <si>
    <t>Run1 (Mbps)</t>
  </si>
  <si>
    <t>Run2 (Mbps)</t>
  </si>
  <si>
    <t>Run3 (Mbps)</t>
  </si>
  <si>
    <t>Mean (Mbps)</t>
  </si>
  <si>
    <t>StdDev (Mbps)</t>
  </si>
  <si>
    <t>Min (Mbps)</t>
  </si>
  <si>
    <t>Max (Mbps)</t>
  </si>
  <si>
    <r>
      <t>Austria</t>
    </r>
    <r>
      <rPr>
        <sz val="11"/>
        <rFont val="宋体-简"/>
        <charset val="1"/>
      </rPr>
      <t>（</t>
    </r>
    <r>
      <rPr>
        <sz val="11"/>
        <rFont val="Arial"/>
        <charset val="1"/>
      </rPr>
      <t>Germany</t>
    </r>
    <r>
      <rPr>
        <sz val="11"/>
        <rFont val="宋体-简"/>
        <charset val="1"/>
      </rPr>
      <t>）</t>
    </r>
  </si>
  <si>
    <t>Run3 anomalous (3.98 Mbps) retained as-is</t>
  </si>
  <si>
    <t>Run1 anomalous (1.12 Mbps) retained as-is</t>
  </si>
  <si>
    <t>[4.2 Furthest host]</t>
  </si>
  <si>
    <t>[4.2 Closest host]</t>
  </si>
  <si>
    <t>Reverse-mode values (server forward mode refused)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</si>
</sst>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Calibri"/>
      <charset val="1"/>
    </font>
    <font>
      <b/>
      <sz val="11"/>
      <color rgb="FFFFFFFF"/>
      <name val="Arial"/>
      <charset val="1"/>
    </font>
    <font>
      <sz val="11"/>
      <name val="Arial"/>
      <charset val="1"/>
    </font>
    <font>
      <sz val="11"/>
      <color rgb="FFFF0000"/>
      <name val="Arial"/>
      <charset val="1"/>
    </font>
    <font>
      <sz val="11"/>
      <color rgb="FF0000FF"/>
      <name val="Arial"/>
      <charset val="1"/>
    </font>
    <font>
      <sz val="11"/>
      <color rgb="FF000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name val="宋体-简"/>
      <charset val="1"/>
    </font>
  </fonts>
  <fills count="34">
    <fill>
      <patternFill patternType="none"/>
    </fill>
    <fill>
      <patternFill patternType="gray125"/>
    </fill>
    <fill>
      <patternFill patternType="solid">
        <fgColor rgb="FF305496"/>
        <bgColor rgb="FF6666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Border="0" applyAlignment="0" applyProtection="0"/>
    <xf numFmtId="44" fontId="6" fillId="0" borderId="0" applyBorder="0" applyAlignment="0" applyProtection="0"/>
    <xf numFmtId="9" fontId="6" fillId="0" borderId="0" applyBorder="0" applyAlignment="0" applyProtection="0"/>
    <xf numFmtId="41" fontId="6" fillId="0" borderId="0" applyBorder="0" applyAlignment="0" applyProtection="0"/>
    <xf numFmtId="42" fontId="6" fillId="0" borderId="0" applyBorder="0" applyAlignment="0" applyProtection="0"/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1" applyNumberFormat="0" applyFont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2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4" borderId="4" applyNumberFormat="0" applyAlignment="0" applyProtection="0">
      <alignment vertical="center"/>
    </xf>
    <xf numFmtId="0" fontId="17" fillId="5" borderId="5" applyNumberFormat="0" applyAlignment="0" applyProtection="0">
      <alignment vertical="center"/>
    </xf>
    <xf numFmtId="0" fontId="18" fillId="5" borderId="4" applyNumberFormat="0" applyAlignment="0" applyProtection="0">
      <alignment vertical="center"/>
    </xf>
    <xf numFmtId="0" fontId="19" fillId="6" borderId="6" applyNumberFormat="0" applyAlignment="0" applyProtection="0">
      <alignment vertical="center"/>
    </xf>
    <xf numFmtId="0" fontId="20" fillId="0" borderId="7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7" borderId="0" applyNumberFormat="0" applyBorder="0" applyAlignment="0" applyProtection="0">
      <alignment vertical="center"/>
    </xf>
    <xf numFmtId="0" fontId="23" fillId="8" borderId="0" applyNumberFormat="0" applyBorder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6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6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6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6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6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</cellStyleXfs>
  <cellXfs count="8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0" xfId="0" applyFont="1"/>
    <xf numFmtId="3" fontId="3" fillId="0" borderId="0" xfId="0" applyNumberFormat="1" applyFont="1" applyAlignment="1">
      <alignment horizontal="center"/>
    </xf>
    <xf numFmtId="2" fontId="4" fillId="0" borderId="0" xfId="0" applyNumberFormat="1" applyFont="1" applyAlignment="1">
      <alignment horizontal="center"/>
    </xf>
    <xf numFmtId="2" fontId="5" fillId="0" borderId="0" xfId="0" applyNumberFormat="1" applyFont="1" applyAlignment="1">
      <alignment horizontal="center"/>
    </xf>
    <xf numFmtId="2" fontId="2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78787"/>
      <rgbColor rgb="009999FF"/>
      <rgbColor rgb="00993366"/>
      <rgbColor rgb="00FFFFCC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05496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zh-CN" sz="1300" b="0" i="0" u="none" strike="noStrike" kern="1200" baseline="0">
                <a:solidFill>
                  <a:schemeClr val="tx1"/>
                </a:solidFill>
                <a:uFillTx/>
                <a:latin typeface="Arial" panose="020B0604020202090204"/>
                <a:ea typeface="+mn-ea"/>
                <a:cs typeface="+mn-cs"/>
              </a:defRPr>
            </a:pPr>
            <a:r>
              <a:rPr sz="1800" b="1" u="none" strike="noStrike">
                <a:solidFill>
                  <a:srgbClr val="000000"/>
                </a:solidFill>
                <a:uFillTx/>
                <a:latin typeface="Calibri"/>
              </a:rPr>
              <a:t>Mean Bandwidth vs Distance (S4.1)</a:t>
            </a:r>
            <a:endParaRPr sz="1800" b="1" u="none" strike="noStrike">
              <a:solidFill>
                <a:srgbClr val="000000"/>
              </a:solidFill>
              <a:uFillTx/>
              <a:latin typeface="Calibri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scatterChart>
        <c:scatterStyle val="marker"/>
        <c:varyColors val="0"/>
        <c:ser>
          <c:idx val="0"/>
          <c:order val="0"/>
          <c:tx>
            <c:strRef>
              <c:f>"Mean Bandwidth"</c:f>
              <c:strCache>
                <c:ptCount val="1"/>
                <c:pt idx="0">
                  <c:v>Mean Bandwidth</c:v>
                </c:pt>
              </c:strCache>
            </c:strRef>
          </c:tx>
          <c:spPr>
            <a:ln w="12600" cap="rnd" cmpd="sng" algn="ctr">
              <a:noFill/>
              <a:prstDash val="solid"/>
              <a:round/>
            </a:ln>
          </c:spPr>
          <c:marker>
            <c:symbol val="circle"/>
            <c:size val="8"/>
            <c:spPr>
              <a:noFill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zh-CN" sz="10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>
                  <c:spPr>
                    <a:ln w="12600" cap="flat" cmpd="sng" algn="ctr">
                      <a:noFill/>
                      <a:prstDash val="solid"/>
                      <a:round/>
                    </a:ln>
                  </c:spPr>
                </c15:leaderLines>
              </c:ext>
            </c:extLst>
          </c:dLbls>
          <c:trendline>
            <c:spPr>
              <a:ln w="9360" cap="rnd" cmpd="sng" algn="ctr">
                <a:solidFill>
                  <a:srgbClr val="000000"/>
                </a:solidFill>
                <a:prstDash val="solid"/>
                <a:round/>
              </a:ln>
            </c:spPr>
            <c:trendlineType val="linear"/>
            <c:forward val="0"/>
            <c:backward val="0"/>
            <c:dispRSqr val="1"/>
            <c:dispEq val="1"/>
            <c:trendlineLbl>
              <c:layout>
                <c:manualLayout>
                  <c:x val="0.0136785960082588"/>
                  <c:y val="-0.0843393695506372"/>
                </c:manualLayout>
              </c:layout>
              <c:txPr>
                <a:bodyPr rot="0" spcFirstLastPara="0" vertOverflow="ellipsis" vert="horz" wrap="square" anchor="ctr" anchorCtr="1"/>
                <a:lstStyle/>
                <a:p>
                  <a:pPr>
                    <a:defRPr lang="zh-CN" sz="1000" b="0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</a:p>
              </c:txPr>
            </c:trendlineLbl>
          </c:trendline>
          <c:xVal>
            <c:numRef>
              <c:f>HostSummary!$D$2:$D$11</c:f>
              <c:numCache>
                <c:formatCode>#,##0</c:formatCode>
                <c:ptCount val="10"/>
                <c:pt idx="0">
                  <c:v>14155</c:v>
                </c:pt>
                <c:pt idx="1">
                  <c:v>16321</c:v>
                </c:pt>
                <c:pt idx="2">
                  <c:v>16321</c:v>
                </c:pt>
                <c:pt idx="3">
                  <c:v>15636</c:v>
                </c:pt>
                <c:pt idx="4">
                  <c:v>15207</c:v>
                </c:pt>
                <c:pt idx="5">
                  <c:v>16292</c:v>
                </c:pt>
                <c:pt idx="6">
                  <c:v>17761</c:v>
                </c:pt>
                <c:pt idx="7">
                  <c:v>13621</c:v>
                </c:pt>
                <c:pt idx="8">
                  <c:v>14482</c:v>
                </c:pt>
                <c:pt idx="9">
                  <c:v>12679</c:v>
                </c:pt>
              </c:numCache>
            </c:numRef>
          </c:xVal>
          <c:yVal>
            <c:numRef>
              <c:f>HostSummary!$H$2:$H$11</c:f>
              <c:numCache>
                <c:formatCode>0.00</c:formatCode>
                <c:ptCount val="10"/>
                <c:pt idx="0">
                  <c:v>61.4333333333333</c:v>
                </c:pt>
                <c:pt idx="1">
                  <c:v>85.1</c:v>
                </c:pt>
                <c:pt idx="2">
                  <c:v>75.6333333333333</c:v>
                </c:pt>
                <c:pt idx="3">
                  <c:v>38.76</c:v>
                </c:pt>
                <c:pt idx="4">
                  <c:v>57.9</c:v>
                </c:pt>
                <c:pt idx="5">
                  <c:v>33.2733333333333</c:v>
                </c:pt>
                <c:pt idx="6">
                  <c:v>13.7666666666667</c:v>
                </c:pt>
                <c:pt idx="7">
                  <c:v>14.2333333333333</c:v>
                </c:pt>
                <c:pt idx="8">
                  <c:v>97.9666666666667</c:v>
                </c:pt>
                <c:pt idx="9">
                  <c:v>26.5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axId val="88669257"/>
        <c:axId val="19062746"/>
      </c:scatterChart>
      <c:valAx>
        <c:axId val="88669257"/>
        <c:scaling>
          <c:orientation val="minMax"/>
        </c:scaling>
        <c:delete val="0"/>
        <c:axPos val="b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Distance (km)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19062746"/>
        <c:crosses val="autoZero"/>
        <c:crossBetween val="midCat"/>
      </c:valAx>
      <c:valAx>
        <c:axId val="19062746"/>
        <c:scaling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zh-CN" sz="1300" b="0" i="0" u="none" strike="noStrike" kern="1200" baseline="0">
                    <a:solidFill>
                      <a:schemeClr val="tx1"/>
                    </a:solidFill>
                    <a:uFillTx/>
                    <a:latin typeface="Arial" panose="020B0604020202090204"/>
                    <a:ea typeface="+mn-ea"/>
                    <a:cs typeface="+mn-cs"/>
                  </a:defRPr>
                </a:pPr>
                <a:r>
                  <a:rPr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Mean Bandwidth (Mbits/sec)</a:t>
                </a:r>
                <a:endParaRPr sz="1000" b="1" u="none" strike="noStrike">
                  <a:solidFill>
                    <a:srgbClr val="000000"/>
                  </a:solidFill>
                  <a:uFillTx/>
                  <a:latin typeface="Calibri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000000"/>
                </a:solidFill>
                <a:uFillTx/>
                <a:latin typeface="Calibri"/>
                <a:ea typeface="+mn-ea"/>
                <a:cs typeface="+mn-cs"/>
              </a:defRPr>
            </a:pPr>
          </a:p>
        </c:txPr>
        <c:crossAx val="88669257"/>
        <c:crosses val="autoZero"/>
        <c:crossBetween val="midCat"/>
      </c:valAx>
      <c:spPr>
        <a:solidFill>
          <a:srgbClr val="FFFFFF"/>
        </a:solidFill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1000" b="0" i="0" u="none" strike="noStrike" kern="1200" baseline="0">
              <a:solidFill>
                <a:srgbClr val="000000"/>
              </a:solidFill>
              <a:uFillTx/>
              <a:latin typeface="Calibri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e060ec50-c9c4-4768-8578-e403d8aed089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zh-CN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13</xdr:row>
      <xdr:rowOff>0</xdr:rowOff>
    </xdr:from>
    <xdr:to>
      <xdr:col>5</xdr:col>
      <xdr:colOff>629280</xdr:colOff>
      <xdr:row>31</xdr:row>
      <xdr:rowOff>170640</xdr:rowOff>
    </xdr:to>
    <xdr:graphicFrame>
      <xdr:nvGraphicFramePr>
        <xdr:cNvPr id="2" name="Chart 1"/>
        <xdr:cNvGraphicFramePr/>
      </xdr:nvGraphicFramePr>
      <xdr:xfrm>
        <a:off x="0" y="2776220"/>
        <a:ext cx="7374890" cy="401066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31"/>
  <sheetViews>
    <sheetView zoomScale="75" zoomScaleNormal="75" workbookViewId="0">
      <pane ySplit="1" topLeftCell="A2" activePane="bottomLeft" state="frozen"/>
      <selection/>
      <selection pane="bottomLeft" activeCell="I2" sqref="I2:I4"/>
    </sheetView>
  </sheetViews>
  <sheetFormatPr defaultColWidth="8.6796875" defaultRowHeight="16.8"/>
  <cols>
    <col min="1" max="1" width="8" customWidth="1"/>
    <col min="2" max="2" width="28" customWidth="1"/>
    <col min="3" max="3" width="16" customWidth="1"/>
    <col min="4" max="4" width="18" customWidth="1"/>
    <col min="5" max="5" width="7" customWidth="1"/>
    <col min="6" max="6" width="42" customWidth="1"/>
    <col min="7" max="7" width="14" customWidth="1"/>
    <col min="8" max="8" width="18" customWidth="1"/>
    <col min="9" max="9" width="22" customWidth="1"/>
    <col min="10" max="10" width="50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s="2">
        <v>1</v>
      </c>
      <c r="B2" s="3" t="s">
        <v>10</v>
      </c>
      <c r="C2" s="3" t="s">
        <v>11</v>
      </c>
      <c r="D2" s="3" t="s">
        <v>12</v>
      </c>
      <c r="E2" s="2">
        <v>1</v>
      </c>
      <c r="F2" s="3" t="s">
        <v>13</v>
      </c>
      <c r="G2" s="2" t="s">
        <v>14</v>
      </c>
      <c r="H2" s="7">
        <v>85</v>
      </c>
      <c r="I2" s="7">
        <v>71.3</v>
      </c>
      <c r="J2" s="3"/>
    </row>
    <row r="3" spans="1:10">
      <c r="A3" s="2">
        <v>1</v>
      </c>
      <c r="B3" s="3" t="s">
        <v>10</v>
      </c>
      <c r="C3" s="3" t="s">
        <v>11</v>
      </c>
      <c r="D3" s="3" t="s">
        <v>12</v>
      </c>
      <c r="E3" s="2">
        <v>2</v>
      </c>
      <c r="F3" s="3" t="s">
        <v>13</v>
      </c>
      <c r="G3" s="2" t="s">
        <v>14</v>
      </c>
      <c r="H3" s="7">
        <v>48.8</v>
      </c>
      <c r="I3" s="7">
        <v>40.9</v>
      </c>
      <c r="J3" s="3"/>
    </row>
    <row r="4" spans="1:10">
      <c r="A4" s="2">
        <v>1</v>
      </c>
      <c r="B4" s="3" t="s">
        <v>10</v>
      </c>
      <c r="C4" s="3" t="s">
        <v>11</v>
      </c>
      <c r="D4" s="3" t="s">
        <v>12</v>
      </c>
      <c r="E4" s="2">
        <v>3</v>
      </c>
      <c r="F4" s="3" t="s">
        <v>13</v>
      </c>
      <c r="G4" s="2" t="s">
        <v>14</v>
      </c>
      <c r="H4" s="7">
        <v>86</v>
      </c>
      <c r="I4" s="7">
        <v>72.1</v>
      </c>
      <c r="J4" s="3"/>
    </row>
    <row r="5" spans="1:10">
      <c r="A5" s="2">
        <v>2</v>
      </c>
      <c r="B5" s="3" t="s">
        <v>15</v>
      </c>
      <c r="C5" s="3" t="s">
        <v>16</v>
      </c>
      <c r="D5" s="3" t="s">
        <v>17</v>
      </c>
      <c r="E5" s="2">
        <v>1</v>
      </c>
      <c r="F5" s="3" t="s">
        <v>18</v>
      </c>
      <c r="G5" s="2" t="s">
        <v>14</v>
      </c>
      <c r="H5" s="7">
        <v>105</v>
      </c>
      <c r="I5" s="7">
        <v>88.3</v>
      </c>
      <c r="J5" s="3"/>
    </row>
    <row r="6" spans="1:10">
      <c r="A6" s="2">
        <v>2</v>
      </c>
      <c r="B6" s="3" t="s">
        <v>15</v>
      </c>
      <c r="C6" s="3" t="s">
        <v>16</v>
      </c>
      <c r="D6" s="3" t="s">
        <v>17</v>
      </c>
      <c r="E6" s="2">
        <v>2</v>
      </c>
      <c r="F6" s="3" t="s">
        <v>18</v>
      </c>
      <c r="G6" s="2" t="s">
        <v>14</v>
      </c>
      <c r="H6" s="7">
        <v>101</v>
      </c>
      <c r="I6" s="7">
        <v>84.5</v>
      </c>
      <c r="J6" s="3"/>
    </row>
    <row r="7" spans="1:10">
      <c r="A7" s="2">
        <v>2</v>
      </c>
      <c r="B7" s="3" t="s">
        <v>15</v>
      </c>
      <c r="C7" s="3" t="s">
        <v>16</v>
      </c>
      <c r="D7" s="3" t="s">
        <v>17</v>
      </c>
      <c r="E7" s="2">
        <v>3</v>
      </c>
      <c r="F7" s="3" t="s">
        <v>18</v>
      </c>
      <c r="G7" s="2" t="s">
        <v>19</v>
      </c>
      <c r="H7" s="7">
        <v>98.5</v>
      </c>
      <c r="I7" s="7">
        <v>82.5</v>
      </c>
      <c r="J7" s="3"/>
    </row>
    <row r="8" spans="1:10">
      <c r="A8" s="2">
        <v>3</v>
      </c>
      <c r="B8" s="3" t="s">
        <v>20</v>
      </c>
      <c r="C8" s="3" t="s">
        <v>21</v>
      </c>
      <c r="D8" s="3" t="s">
        <v>17</v>
      </c>
      <c r="E8" s="2">
        <v>1</v>
      </c>
      <c r="F8" s="3" t="s">
        <v>22</v>
      </c>
      <c r="G8" s="2" t="s">
        <v>23</v>
      </c>
      <c r="H8" s="7">
        <v>86.6</v>
      </c>
      <c r="I8" s="7">
        <v>72.6</v>
      </c>
      <c r="J8" s="3"/>
    </row>
    <row r="9" spans="1:10">
      <c r="A9" s="2">
        <v>3</v>
      </c>
      <c r="B9" s="3" t="s">
        <v>20</v>
      </c>
      <c r="C9" s="3" t="s">
        <v>21</v>
      </c>
      <c r="D9" s="3" t="s">
        <v>17</v>
      </c>
      <c r="E9" s="2">
        <v>2</v>
      </c>
      <c r="F9" s="3" t="s">
        <v>22</v>
      </c>
      <c r="G9" s="2" t="s">
        <v>14</v>
      </c>
      <c r="H9" s="7">
        <v>93.1</v>
      </c>
      <c r="I9" s="7">
        <v>78.1</v>
      </c>
      <c r="J9" s="3"/>
    </row>
    <row r="10" spans="1:10">
      <c r="A10" s="2">
        <v>3</v>
      </c>
      <c r="B10" s="3" t="s">
        <v>20</v>
      </c>
      <c r="C10" s="3" t="s">
        <v>21</v>
      </c>
      <c r="D10" s="3" t="s">
        <v>17</v>
      </c>
      <c r="E10" s="2">
        <v>3</v>
      </c>
      <c r="F10" s="3" t="s">
        <v>22</v>
      </c>
      <c r="G10" s="2" t="s">
        <v>14</v>
      </c>
      <c r="H10" s="7">
        <v>90.9</v>
      </c>
      <c r="I10" s="7">
        <v>76.2</v>
      </c>
      <c r="J10" s="3"/>
    </row>
    <row r="11" spans="1:10">
      <c r="A11" s="2">
        <v>4</v>
      </c>
      <c r="B11" s="3" t="s">
        <v>24</v>
      </c>
      <c r="C11" s="3" t="s">
        <v>25</v>
      </c>
      <c r="D11" s="3" t="s">
        <v>26</v>
      </c>
      <c r="E11" s="2">
        <v>1</v>
      </c>
      <c r="F11" s="3" t="s">
        <v>27</v>
      </c>
      <c r="G11" s="2" t="s">
        <v>19</v>
      </c>
      <c r="H11" s="7">
        <v>69.6</v>
      </c>
      <c r="I11" s="7">
        <v>58.3</v>
      </c>
      <c r="J11" s="3"/>
    </row>
    <row r="12" spans="1:10">
      <c r="A12" s="2">
        <v>4</v>
      </c>
      <c r="B12" s="3" t="s">
        <v>24</v>
      </c>
      <c r="C12" s="3" t="s">
        <v>25</v>
      </c>
      <c r="D12" s="3" t="s">
        <v>26</v>
      </c>
      <c r="E12" s="2">
        <v>2</v>
      </c>
      <c r="F12" s="3" t="s">
        <v>27</v>
      </c>
      <c r="G12" s="2" t="s">
        <v>23</v>
      </c>
      <c r="H12" s="7">
        <v>64.4</v>
      </c>
      <c r="I12" s="7">
        <v>54</v>
      </c>
      <c r="J12" s="3"/>
    </row>
    <row r="13" spans="1:10">
      <c r="A13" s="2">
        <v>4</v>
      </c>
      <c r="B13" s="3" t="s">
        <v>24</v>
      </c>
      <c r="C13" s="3" t="s">
        <v>25</v>
      </c>
      <c r="D13" s="3" t="s">
        <v>26</v>
      </c>
      <c r="E13" s="2">
        <v>3</v>
      </c>
      <c r="F13" s="3" t="s">
        <v>27</v>
      </c>
      <c r="G13" s="2" t="s">
        <v>19</v>
      </c>
      <c r="H13" s="7">
        <v>4.75</v>
      </c>
      <c r="I13" s="7">
        <v>3.98</v>
      </c>
      <c r="J13" s="3" t="s">
        <v>28</v>
      </c>
    </row>
    <row r="14" spans="1:10">
      <c r="A14" s="2">
        <v>5</v>
      </c>
      <c r="B14" s="3" t="s">
        <v>29</v>
      </c>
      <c r="C14" s="3" t="s">
        <v>30</v>
      </c>
      <c r="D14" s="3" t="s">
        <v>31</v>
      </c>
      <c r="E14" s="2">
        <v>1</v>
      </c>
      <c r="F14" s="3" t="s">
        <v>32</v>
      </c>
      <c r="G14" s="2" t="s">
        <v>33</v>
      </c>
      <c r="H14" s="7">
        <v>91.6</v>
      </c>
      <c r="I14" s="7">
        <v>76.6</v>
      </c>
      <c r="J14" s="3"/>
    </row>
    <row r="15" spans="1:10">
      <c r="A15" s="2">
        <v>5</v>
      </c>
      <c r="B15" s="3" t="s">
        <v>29</v>
      </c>
      <c r="C15" s="3" t="s">
        <v>30</v>
      </c>
      <c r="D15" s="3" t="s">
        <v>31</v>
      </c>
      <c r="E15" s="2">
        <v>2</v>
      </c>
      <c r="F15" s="3" t="s">
        <v>32</v>
      </c>
      <c r="G15" s="2" t="s">
        <v>23</v>
      </c>
      <c r="H15" s="7">
        <v>64.4</v>
      </c>
      <c r="I15" s="7">
        <v>54</v>
      </c>
      <c r="J15" s="3"/>
    </row>
    <row r="16" spans="1:10">
      <c r="A16" s="2">
        <v>5</v>
      </c>
      <c r="B16" s="3" t="s">
        <v>29</v>
      </c>
      <c r="C16" s="3" t="s">
        <v>30</v>
      </c>
      <c r="D16" s="3" t="s">
        <v>31</v>
      </c>
      <c r="E16" s="2">
        <v>3</v>
      </c>
      <c r="F16" s="3" t="s">
        <v>32</v>
      </c>
      <c r="G16" s="2" t="s">
        <v>33</v>
      </c>
      <c r="H16" s="7">
        <v>51.5</v>
      </c>
      <c r="I16" s="7">
        <v>43.1</v>
      </c>
      <c r="J16" s="3"/>
    </row>
    <row r="17" spans="1:10">
      <c r="A17" s="2">
        <v>6</v>
      </c>
      <c r="B17" s="3" t="s">
        <v>34</v>
      </c>
      <c r="C17" s="3" t="s">
        <v>35</v>
      </c>
      <c r="D17" s="3" t="s">
        <v>36</v>
      </c>
      <c r="E17" s="2">
        <v>1</v>
      </c>
      <c r="F17" s="3" t="s">
        <v>37</v>
      </c>
      <c r="G17" s="2" t="s">
        <v>38</v>
      </c>
      <c r="H17" s="7">
        <v>1.5</v>
      </c>
      <c r="I17" s="7">
        <v>1.12</v>
      </c>
      <c r="J17" s="3" t="s">
        <v>39</v>
      </c>
    </row>
    <row r="18" spans="1:10">
      <c r="A18" s="2">
        <v>6</v>
      </c>
      <c r="B18" s="3" t="s">
        <v>34</v>
      </c>
      <c r="C18" s="3" t="s">
        <v>35</v>
      </c>
      <c r="D18" s="3" t="s">
        <v>36</v>
      </c>
      <c r="E18" s="2">
        <v>2</v>
      </c>
      <c r="F18" s="3" t="s">
        <v>37</v>
      </c>
      <c r="G18" s="2" t="s">
        <v>40</v>
      </c>
      <c r="H18" s="7">
        <v>17.6</v>
      </c>
      <c r="I18" s="7">
        <v>14.7</v>
      </c>
      <c r="J18" s="3"/>
    </row>
    <row r="19" spans="1:10">
      <c r="A19" s="2">
        <v>6</v>
      </c>
      <c r="B19" s="3" t="s">
        <v>34</v>
      </c>
      <c r="C19" s="3" t="s">
        <v>35</v>
      </c>
      <c r="D19" s="3" t="s">
        <v>36</v>
      </c>
      <c r="E19" s="2">
        <v>3</v>
      </c>
      <c r="F19" s="3" t="s">
        <v>37</v>
      </c>
      <c r="G19" s="2" t="s">
        <v>14</v>
      </c>
      <c r="H19" s="7">
        <v>100</v>
      </c>
      <c r="I19" s="7">
        <v>84</v>
      </c>
      <c r="J19" s="3"/>
    </row>
    <row r="20" spans="1:10">
      <c r="A20" s="2">
        <v>7</v>
      </c>
      <c r="B20" s="3" t="s">
        <v>41</v>
      </c>
      <c r="C20" s="3" t="s">
        <v>42</v>
      </c>
      <c r="D20" s="3" t="s">
        <v>43</v>
      </c>
      <c r="E20" s="2">
        <v>1</v>
      </c>
      <c r="F20" s="3" t="s">
        <v>44</v>
      </c>
      <c r="G20" s="2" t="s">
        <v>45</v>
      </c>
      <c r="H20" s="7">
        <v>16.6</v>
      </c>
      <c r="I20" s="7">
        <v>13.9</v>
      </c>
      <c r="J20" s="3"/>
    </row>
    <row r="21" spans="1:10">
      <c r="A21" s="2">
        <v>7</v>
      </c>
      <c r="B21" s="3" t="s">
        <v>41</v>
      </c>
      <c r="C21" s="3" t="s">
        <v>42</v>
      </c>
      <c r="D21" s="3" t="s">
        <v>43</v>
      </c>
      <c r="E21" s="2">
        <v>2</v>
      </c>
      <c r="F21" s="3" t="s">
        <v>44</v>
      </c>
      <c r="G21" s="2" t="s">
        <v>46</v>
      </c>
      <c r="H21" s="7">
        <v>16.5</v>
      </c>
      <c r="I21" s="7">
        <v>13.7</v>
      </c>
      <c r="J21" s="3"/>
    </row>
    <row r="22" spans="1:10">
      <c r="A22" s="2">
        <v>7</v>
      </c>
      <c r="B22" s="3" t="s">
        <v>41</v>
      </c>
      <c r="C22" s="3" t="s">
        <v>42</v>
      </c>
      <c r="D22" s="3" t="s">
        <v>43</v>
      </c>
      <c r="E22" s="2">
        <v>3</v>
      </c>
      <c r="F22" s="3" t="s">
        <v>44</v>
      </c>
      <c r="G22" s="2" t="s">
        <v>40</v>
      </c>
      <c r="H22" s="7">
        <v>16.4</v>
      </c>
      <c r="I22" s="7">
        <v>13.7</v>
      </c>
      <c r="J22" s="3"/>
    </row>
    <row r="23" spans="1:10">
      <c r="A23" s="2">
        <v>8</v>
      </c>
      <c r="B23" s="3" t="s">
        <v>47</v>
      </c>
      <c r="C23" s="3" t="s">
        <v>48</v>
      </c>
      <c r="D23" s="3" t="s">
        <v>49</v>
      </c>
      <c r="E23" s="2">
        <v>1</v>
      </c>
      <c r="F23" s="3" t="s">
        <v>50</v>
      </c>
      <c r="G23" s="2" t="s">
        <v>51</v>
      </c>
      <c r="H23" s="7">
        <v>14</v>
      </c>
      <c r="I23" s="7">
        <v>11.4</v>
      </c>
      <c r="J23" s="3"/>
    </row>
    <row r="24" spans="1:10">
      <c r="A24" s="2">
        <v>8</v>
      </c>
      <c r="B24" s="3" t="s">
        <v>47</v>
      </c>
      <c r="C24" s="3" t="s">
        <v>48</v>
      </c>
      <c r="D24" s="3" t="s">
        <v>49</v>
      </c>
      <c r="E24" s="2">
        <v>2</v>
      </c>
      <c r="F24" s="3" t="s">
        <v>50</v>
      </c>
      <c r="G24" s="2" t="s">
        <v>51</v>
      </c>
      <c r="H24" s="7">
        <v>23</v>
      </c>
      <c r="I24" s="7">
        <v>18.7</v>
      </c>
      <c r="J24" s="3"/>
    </row>
    <row r="25" spans="1:10">
      <c r="A25" s="2">
        <v>8</v>
      </c>
      <c r="B25" s="3" t="s">
        <v>47</v>
      </c>
      <c r="C25" s="3" t="s">
        <v>48</v>
      </c>
      <c r="D25" s="3" t="s">
        <v>49</v>
      </c>
      <c r="E25" s="2">
        <v>3</v>
      </c>
      <c r="F25" s="3" t="s">
        <v>50</v>
      </c>
      <c r="G25" s="2" t="s">
        <v>51</v>
      </c>
      <c r="H25" s="7">
        <v>15.5</v>
      </c>
      <c r="I25" s="7">
        <v>12.6</v>
      </c>
      <c r="J25" s="3"/>
    </row>
    <row r="26" spans="1:10">
      <c r="A26" s="2">
        <v>9</v>
      </c>
      <c r="B26" s="3" t="s">
        <v>52</v>
      </c>
      <c r="C26" s="3" t="s">
        <v>53</v>
      </c>
      <c r="D26" s="3" t="s">
        <v>54</v>
      </c>
      <c r="E26" s="2">
        <v>1</v>
      </c>
      <c r="F26" s="3" t="s">
        <v>55</v>
      </c>
      <c r="G26" s="2" t="s">
        <v>14</v>
      </c>
      <c r="H26" s="7">
        <v>95.4</v>
      </c>
      <c r="I26" s="7">
        <v>79.9</v>
      </c>
      <c r="J26" s="3"/>
    </row>
    <row r="27" spans="1:10">
      <c r="A27" s="2">
        <v>9</v>
      </c>
      <c r="B27" s="3" t="s">
        <v>52</v>
      </c>
      <c r="C27" s="3" t="s">
        <v>53</v>
      </c>
      <c r="D27" s="3" t="s">
        <v>54</v>
      </c>
      <c r="E27" s="2">
        <v>2</v>
      </c>
      <c r="F27" s="3" t="s">
        <v>55</v>
      </c>
      <c r="G27" s="2" t="s">
        <v>23</v>
      </c>
      <c r="H27" s="7">
        <v>123</v>
      </c>
      <c r="I27" s="7">
        <v>103</v>
      </c>
      <c r="J27" s="3"/>
    </row>
    <row r="28" spans="1:10">
      <c r="A28" s="2">
        <v>9</v>
      </c>
      <c r="B28" s="3" t="s">
        <v>52</v>
      </c>
      <c r="C28" s="3" t="s">
        <v>53</v>
      </c>
      <c r="D28" s="3" t="s">
        <v>54</v>
      </c>
      <c r="E28" s="2">
        <v>3</v>
      </c>
      <c r="F28" s="3" t="s">
        <v>55</v>
      </c>
      <c r="G28" s="2" t="s">
        <v>19</v>
      </c>
      <c r="H28" s="7">
        <v>133</v>
      </c>
      <c r="I28" s="7">
        <v>111</v>
      </c>
      <c r="J28" s="3"/>
    </row>
    <row r="29" spans="1:10">
      <c r="A29" s="2">
        <v>10</v>
      </c>
      <c r="B29" s="3" t="s">
        <v>56</v>
      </c>
      <c r="C29" s="3" t="s">
        <v>57</v>
      </c>
      <c r="D29" s="3" t="s">
        <v>58</v>
      </c>
      <c r="E29" s="2">
        <v>1</v>
      </c>
      <c r="F29" s="3" t="s">
        <v>59</v>
      </c>
      <c r="G29" s="2" t="s">
        <v>14</v>
      </c>
      <c r="H29" s="7">
        <v>43</v>
      </c>
      <c r="I29" s="7">
        <v>36.1</v>
      </c>
      <c r="J29" s="3" t="s">
        <v>60</v>
      </c>
    </row>
    <row r="30" spans="1:10">
      <c r="A30" s="2">
        <v>10</v>
      </c>
      <c r="B30" s="3" t="s">
        <v>56</v>
      </c>
      <c r="C30" s="3" t="s">
        <v>57</v>
      </c>
      <c r="D30" s="3" t="s">
        <v>58</v>
      </c>
      <c r="E30" s="2">
        <v>2</v>
      </c>
      <c r="F30" s="3" t="s">
        <v>59</v>
      </c>
      <c r="G30" s="2" t="s">
        <v>23</v>
      </c>
      <c r="H30" s="7">
        <v>33.4</v>
      </c>
      <c r="I30" s="7">
        <v>28</v>
      </c>
      <c r="J30" s="3" t="s">
        <v>61</v>
      </c>
    </row>
    <row r="31" spans="1:10">
      <c r="A31" s="2">
        <v>10</v>
      </c>
      <c r="B31" s="3" t="s">
        <v>56</v>
      </c>
      <c r="C31" s="3" t="s">
        <v>57</v>
      </c>
      <c r="D31" s="3" t="s">
        <v>58</v>
      </c>
      <c r="E31" s="2">
        <v>3</v>
      </c>
      <c r="F31" s="3" t="s">
        <v>59</v>
      </c>
      <c r="G31" s="2" t="s">
        <v>14</v>
      </c>
      <c r="H31" s="7">
        <v>18.4</v>
      </c>
      <c r="I31" s="7">
        <v>15.4</v>
      </c>
      <c r="J31" s="3" t="s">
        <v>61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1"/>
  <sheetViews>
    <sheetView tabSelected="1" zoomScale="63" zoomScaleNormal="63" workbookViewId="0">
      <pane ySplit="1" topLeftCell="A2" activePane="bottomLeft" state="frozen"/>
      <selection/>
      <selection pane="bottomLeft" activeCell="H31" sqref="H31"/>
    </sheetView>
  </sheetViews>
  <sheetFormatPr defaultColWidth="8.6796875" defaultRowHeight="16.8"/>
  <cols>
    <col min="1" max="1" width="8" customWidth="1"/>
    <col min="2" max="2" width="30" customWidth="1"/>
    <col min="3" max="3" width="18" customWidth="1"/>
    <col min="4" max="4" width="14" customWidth="1"/>
    <col min="5" max="8" width="13" customWidth="1"/>
    <col min="9" max="9" width="14" customWidth="1"/>
    <col min="10" max="11" width="12" customWidth="1"/>
    <col min="12" max="12" width="50" customWidth="1"/>
  </cols>
  <sheetData>
    <row r="1" spans="1:12">
      <c r="A1" s="1" t="s">
        <v>0</v>
      </c>
      <c r="B1" s="1" t="s">
        <v>1</v>
      </c>
      <c r="C1" s="1" t="s">
        <v>3</v>
      </c>
      <c r="D1" s="1" t="s">
        <v>62</v>
      </c>
      <c r="E1" s="1" t="s">
        <v>63</v>
      </c>
      <c r="F1" s="1" t="s">
        <v>64</v>
      </c>
      <c r="G1" s="1" t="s">
        <v>65</v>
      </c>
      <c r="H1" s="1" t="s">
        <v>66</v>
      </c>
      <c r="I1" s="1" t="s">
        <v>67</v>
      </c>
      <c r="J1" s="1" t="s">
        <v>68</v>
      </c>
      <c r="K1" s="1" t="s">
        <v>69</v>
      </c>
      <c r="L1" s="1" t="s">
        <v>9</v>
      </c>
    </row>
    <row r="2" spans="1:12">
      <c r="A2" s="2">
        <v>1</v>
      </c>
      <c r="B2" s="3" t="s">
        <v>10</v>
      </c>
      <c r="C2" s="3" t="s">
        <v>12</v>
      </c>
      <c r="D2" s="4">
        <v>14155</v>
      </c>
      <c r="E2" s="5">
        <v>71.3</v>
      </c>
      <c r="F2" s="5">
        <v>40.9</v>
      </c>
      <c r="G2" s="5">
        <v>72.1</v>
      </c>
      <c r="H2" s="6">
        <f t="shared" ref="H2:H11" si="0">AVERAGE(E2:G2)</f>
        <v>61.4333333333333</v>
      </c>
      <c r="I2" s="6">
        <f t="shared" ref="I2:I11" si="1">STDEV(E2:G2)</f>
        <v>17.7868865553624</v>
      </c>
      <c r="J2" s="6">
        <f t="shared" ref="J2:J11" si="2">MIN(E2:G2)</f>
        <v>40.9</v>
      </c>
      <c r="K2" s="6">
        <f t="shared" ref="K2:K11" si="3">MAX(E2:G2)</f>
        <v>72.1</v>
      </c>
      <c r="L2" s="3"/>
    </row>
    <row r="3" spans="1:12">
      <c r="A3" s="2">
        <v>2</v>
      </c>
      <c r="B3" s="3" t="s">
        <v>15</v>
      </c>
      <c r="C3" s="3" t="s">
        <v>17</v>
      </c>
      <c r="D3" s="4">
        <v>16321</v>
      </c>
      <c r="E3" s="5">
        <v>88.3</v>
      </c>
      <c r="F3" s="5">
        <v>84.5</v>
      </c>
      <c r="G3" s="5">
        <v>82.5</v>
      </c>
      <c r="H3" s="6">
        <f t="shared" si="0"/>
        <v>85.1</v>
      </c>
      <c r="I3" s="6">
        <f t="shared" si="1"/>
        <v>2.94618397253125</v>
      </c>
      <c r="J3" s="6">
        <f t="shared" si="2"/>
        <v>82.5</v>
      </c>
      <c r="K3" s="6">
        <f t="shared" si="3"/>
        <v>88.3</v>
      </c>
      <c r="L3" s="3"/>
    </row>
    <row r="4" ht="17" spans="1:12">
      <c r="A4" s="2">
        <v>3</v>
      </c>
      <c r="B4" s="3" t="s">
        <v>20</v>
      </c>
      <c r="C4" s="3" t="s">
        <v>70</v>
      </c>
      <c r="D4" s="4">
        <v>16321</v>
      </c>
      <c r="E4" s="5">
        <v>72.6</v>
      </c>
      <c r="F4" s="5">
        <v>78.1</v>
      </c>
      <c r="G4" s="5">
        <v>76.2</v>
      </c>
      <c r="H4" s="6">
        <f t="shared" si="0"/>
        <v>75.6333333333333</v>
      </c>
      <c r="I4" s="6">
        <f t="shared" si="1"/>
        <v>2.79344470740578</v>
      </c>
      <c r="J4" s="6">
        <f t="shared" si="2"/>
        <v>72.6</v>
      </c>
      <c r="K4" s="6">
        <f t="shared" si="3"/>
        <v>78.1</v>
      </c>
      <c r="L4" s="3"/>
    </row>
    <row r="5" spans="1:12">
      <c r="A5" s="2">
        <v>4</v>
      </c>
      <c r="B5" s="3" t="s">
        <v>24</v>
      </c>
      <c r="C5" s="3" t="s">
        <v>26</v>
      </c>
      <c r="D5" s="4">
        <v>15636</v>
      </c>
      <c r="E5" s="5">
        <v>58.3</v>
      </c>
      <c r="F5" s="5">
        <v>54</v>
      </c>
      <c r="G5" s="5">
        <v>3.98</v>
      </c>
      <c r="H5" s="6">
        <f t="shared" si="0"/>
        <v>38.76</v>
      </c>
      <c r="I5" s="6">
        <f t="shared" si="1"/>
        <v>30.1969998509786</v>
      </c>
      <c r="J5" s="6">
        <f t="shared" si="2"/>
        <v>3.98</v>
      </c>
      <c r="K5" s="6">
        <f t="shared" si="3"/>
        <v>58.3</v>
      </c>
      <c r="L5" s="3" t="s">
        <v>71</v>
      </c>
    </row>
    <row r="6" spans="1:12">
      <c r="A6" s="2">
        <v>5</v>
      </c>
      <c r="B6" s="3" t="s">
        <v>29</v>
      </c>
      <c r="C6" s="3" t="s">
        <v>31</v>
      </c>
      <c r="D6" s="4">
        <v>15207</v>
      </c>
      <c r="E6" s="5">
        <v>76.6</v>
      </c>
      <c r="F6" s="5">
        <v>54</v>
      </c>
      <c r="G6" s="5">
        <v>43.1</v>
      </c>
      <c r="H6" s="6">
        <f t="shared" si="0"/>
        <v>57.9</v>
      </c>
      <c r="I6" s="6">
        <f t="shared" si="1"/>
        <v>17.0871296594835</v>
      </c>
      <c r="J6" s="6">
        <f t="shared" si="2"/>
        <v>43.1</v>
      </c>
      <c r="K6" s="6">
        <f t="shared" si="3"/>
        <v>76.6</v>
      </c>
      <c r="L6" s="3"/>
    </row>
    <row r="7" spans="1:12">
      <c r="A7" s="2">
        <v>6</v>
      </c>
      <c r="B7" s="3" t="s">
        <v>34</v>
      </c>
      <c r="C7" s="3" t="s">
        <v>36</v>
      </c>
      <c r="D7" s="4">
        <v>16292</v>
      </c>
      <c r="E7" s="5">
        <v>1.12</v>
      </c>
      <c r="F7" s="5">
        <v>14.7</v>
      </c>
      <c r="G7" s="5">
        <v>84</v>
      </c>
      <c r="H7" s="6">
        <f t="shared" si="0"/>
        <v>33.2733333333333</v>
      </c>
      <c r="I7" s="6">
        <f t="shared" si="1"/>
        <v>44.4522230415233</v>
      </c>
      <c r="J7" s="6">
        <f t="shared" si="2"/>
        <v>1.12</v>
      </c>
      <c r="K7" s="6">
        <f t="shared" si="3"/>
        <v>84</v>
      </c>
      <c r="L7" s="3" t="s">
        <v>72</v>
      </c>
    </row>
    <row r="8" spans="1:12">
      <c r="A8" s="2">
        <v>7</v>
      </c>
      <c r="B8" s="3" t="s">
        <v>41</v>
      </c>
      <c r="C8" s="3" t="s">
        <v>43</v>
      </c>
      <c r="D8" s="4">
        <v>17761</v>
      </c>
      <c r="E8" s="5">
        <v>13.9</v>
      </c>
      <c r="F8" s="5">
        <v>13.7</v>
      </c>
      <c r="G8" s="5">
        <v>13.7</v>
      </c>
      <c r="H8" s="6">
        <f t="shared" si="0"/>
        <v>13.7666666666667</v>
      </c>
      <c r="I8" s="6">
        <f t="shared" si="1"/>
        <v>0.115470053837926</v>
      </c>
      <c r="J8" s="6">
        <f t="shared" si="2"/>
        <v>13.7</v>
      </c>
      <c r="K8" s="6">
        <f t="shared" si="3"/>
        <v>13.9</v>
      </c>
      <c r="L8" s="3" t="s">
        <v>73</v>
      </c>
    </row>
    <row r="9" spans="1:12">
      <c r="A9" s="2">
        <v>8</v>
      </c>
      <c r="B9" s="3" t="s">
        <v>47</v>
      </c>
      <c r="C9" s="3" t="s">
        <v>49</v>
      </c>
      <c r="D9" s="4">
        <v>13621</v>
      </c>
      <c r="E9" s="5">
        <v>11.4</v>
      </c>
      <c r="F9" s="5">
        <v>18.7</v>
      </c>
      <c r="G9" s="5">
        <v>12.6</v>
      </c>
      <c r="H9" s="6">
        <f t="shared" si="0"/>
        <v>14.2333333333333</v>
      </c>
      <c r="I9" s="6">
        <f t="shared" si="1"/>
        <v>3.91450294843845</v>
      </c>
      <c r="J9" s="6">
        <f t="shared" si="2"/>
        <v>11.4</v>
      </c>
      <c r="K9" s="6">
        <f t="shared" si="3"/>
        <v>18.7</v>
      </c>
      <c r="L9" s="3" t="s">
        <v>74</v>
      </c>
    </row>
    <row r="10" spans="1:12">
      <c r="A10" s="2">
        <v>9</v>
      </c>
      <c r="B10" s="3" t="s">
        <v>52</v>
      </c>
      <c r="C10" s="3" t="s">
        <v>54</v>
      </c>
      <c r="D10" s="4">
        <v>14482</v>
      </c>
      <c r="E10" s="5">
        <v>79.9</v>
      </c>
      <c r="F10" s="5">
        <v>103</v>
      </c>
      <c r="G10" s="5">
        <v>111</v>
      </c>
      <c r="H10" s="6">
        <f t="shared" si="0"/>
        <v>97.9666666666667</v>
      </c>
      <c r="I10" s="6">
        <f t="shared" si="1"/>
        <v>16.1494065938453</v>
      </c>
      <c r="J10" s="6">
        <f t="shared" si="2"/>
        <v>79.9</v>
      </c>
      <c r="K10" s="6">
        <f t="shared" si="3"/>
        <v>111</v>
      </c>
      <c r="L10" s="3"/>
    </row>
    <row r="11" spans="1:12">
      <c r="A11" s="2">
        <v>10</v>
      </c>
      <c r="B11" s="3" t="s">
        <v>56</v>
      </c>
      <c r="C11" s="3" t="s">
        <v>58</v>
      </c>
      <c r="D11" s="4">
        <v>12679</v>
      </c>
      <c r="E11" s="5">
        <v>36.1</v>
      </c>
      <c r="F11" s="5">
        <v>28</v>
      </c>
      <c r="G11" s="5">
        <v>15.4</v>
      </c>
      <c r="H11" s="6">
        <f t="shared" si="0"/>
        <v>26.5</v>
      </c>
      <c r="I11" s="6">
        <f t="shared" si="1"/>
        <v>10.4312031904282</v>
      </c>
      <c r="J11" s="6">
        <f t="shared" si="2"/>
        <v>15.4</v>
      </c>
      <c r="K11" s="6">
        <f t="shared" si="3"/>
        <v>36.1</v>
      </c>
      <c r="L11" s="3" t="s">
        <v>75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LibreOffice/26.2.2.2$Linux_AARCH64 LibreOffice_project/620$Build-2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Runs</vt:lpstr>
      <vt:lpstr>HostSummary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威</cp:lastModifiedBy>
  <cp:revision>1</cp:revision>
  <dcterms:created xsi:type="dcterms:W3CDTF">2026-04-24T00:14:00Z</dcterms:created>
  <dcterms:modified xsi:type="dcterms:W3CDTF">2026-04-24T00:28:00Z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B4F7A7D60EC62790BE2BEA69A08C6974_42</vt:lpwstr>
  </property>
  <property fmtid="{D5CDD505-2E9C-101B-9397-08002B2CF9AE}" pid="3" name="KSOProductBuildVer">
    <vt:lpwstr>2052-12.1.25201.25201</vt:lpwstr>
  </property>
  <property fmtid="{D5CDD505-2E9C-101B-9397-08002B2CF9AE}" pid="4" name="CalculationRule">
    <vt:i4>0</vt:i4>
  </property>
</Properties>
</file>