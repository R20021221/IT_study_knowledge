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40" tabRatio="500" activeTab="1"/>
  </bookViews>
  <sheets>
    <sheet name="TimeSlo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<sst xmlns="http://schemas.openxmlformats.org/spreadsheetml/2006/main" count="66" uniqueCount="40">
  <si>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Host</t>
  </si>
  <si>
    <t>Role</t>
  </si>
  <si>
    <t>Distance (km)</t>
  </si>
  <si>
    <t>Slot</t>
  </si>
  <si>
    <t>Timestamp (AEST)</t>
  </si>
  <si>
    <t>iperf Bandwidth (Mbps)</t>
  </si>
  <si>
    <t>iperf Transfer (MBytes)</t>
  </si>
  <si>
    <t>Interval (s)</t>
  </si>
  <si>
    <t>Traceroute Hops</t>
  </si>
  <si>
    <t>Final-hop RTT (ms)</t>
  </si>
  <si>
    <t>Notes</t>
  </si>
  <si>
    <t>porto.speedtest.net.zon.pt</t>
  </si>
  <si>
    <t>Furthest</t>
  </si>
  <si>
    <t>Morning</t>
  </si>
  <si>
    <t>24 Apr 2026 09:22 AEST</t>
  </si>
  <si>
    <t>0.00-10.03</t>
  </si>
  <si>
    <t>Afternoon</t>
  </si>
  <si>
    <t>24 Apr 2026 13:15 AEST</t>
  </si>
  <si>
    <t>Evening</t>
  </si>
  <si>
    <t>24 Apr 2026 18:02 AEST</t>
  </si>
  <si>
    <t>0.00-10.01</t>
  </si>
  <si>
    <t>Night</t>
  </si>
  <si>
    <t>24 Apr 2026 23:02 AEST</t>
  </si>
  <si>
    <t>Night RTT +40 ms; iperf unchanged</t>
  </si>
  <si>
    <t>speedtest.masnet.ec</t>
  </si>
  <si>
    <t>Closest</t>
  </si>
  <si>
    <t>24 Apr 2026 09:25 AEST</t>
  </si>
  <si>
    <t>0.00-10.34</t>
  </si>
  <si>
    <t>24 Apr 2026 13:18 AEST</t>
  </si>
  <si>
    <t>24 Apr 2026 18:09 AEST</t>
  </si>
  <si>
    <t>Ecuador local ~03:00 — off-peak</t>
  </si>
  <si>
    <t>24 Apr 2026 23:08 AEST</t>
  </si>
  <si>
    <t>Hop 24 jitter spike 524/327/388 ms</t>
  </si>
  <si>
    <t>Portugal (Furthest)</t>
  </si>
  <si>
    <t>Ecuador (Closest)</t>
  </si>
  <si>
    <t>Mean (Mbps)</t>
  </si>
  <si>
    <t>StdDev (Mbps)</t>
  </si>
  <si>
    <t>Min</t>
  </si>
  <si>
    <t>Max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</si>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</sst>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rgb="FF2E75B6"/>
      </patternFill>
    </fill>
    <fill>
      <patternFill patternType="solid">
        <fgColor rgb="FFD9E1F2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7"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/>
    <xf numFmtId="0" fontId="3" fillId="3" borderId="0" xfId="0" applyFont="1" applyFill="1" applyAlignment="1"/>
    <xf numFmtId="2" fontId="4" fillId="0" borderId="1" xfId="0" applyNumberFormat="1" applyFont="1" applyBorder="1" applyAlignment="1"/>
    <xf numFmtId="0" fontId="5" fillId="0" borderId="1" xfId="0" applyFont="1" applyBorder="1" applyAlignment="1"/>
    <xf numFmtId="0" fontId="2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78787"/>
      <rgbColor rgb="009999FF"/>
      <rgbColor rgb="00993366"/>
      <rgbColor rgb="00FFFFCC"/>
      <rgbColor rgb="00D9E1F2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90204"/>
                <a:ea typeface="+mn-ea"/>
                <a:cs typeface="+mn-c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Bandwidth Across 4 Time Slots</a:t>
            </a:r>
            <a:endParaRPr sz="1800" b="1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Portugal (Furthest)</c:v>
                </c:pt>
              </c:strCache>
            </c:strRef>
          </c:tx>
          <c:spPr>
            <a:ln w="2844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C00000"/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Summary!$A$2:$A$5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Summary!$B$2:$B$5</c:f>
              <c:numCache>
                <c:formatCode>0.00</c:formatCode>
                <c:ptCount val="4"/>
                <c:pt idx="0">
                  <c:v>13.8</c:v>
                </c:pt>
                <c:pt idx="1">
                  <c:v>13.4</c:v>
                </c:pt>
                <c:pt idx="2">
                  <c:v>13.8</c:v>
                </c:pt>
                <c:pt idx="3">
                  <c:v>13.6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Ecuador (Closest)</c:v>
                </c:pt>
              </c:strCache>
            </c:strRef>
          </c:tx>
          <c:spPr>
            <a:ln w="28440" cap="rnd" cmpd="sng" algn="ctr">
              <a:solidFill>
                <a:srgbClr val="2E75B6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2E75B6"/>
              </a:solidFill>
              <a:ln w="9525" cap="flat" cmpd="sng" algn="ctr">
                <a:noFill/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Summary!$A$2:$A$5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Summary!$C$2:$C$5</c:f>
              <c:numCache>
                <c:formatCode>0.00</c:formatCode>
                <c:ptCount val="4"/>
                <c:pt idx="0">
                  <c:v>20.6</c:v>
                </c:pt>
                <c:pt idx="1">
                  <c:v>22.2</c:v>
                </c:pt>
                <c:pt idx="2">
                  <c:v>24.4</c:v>
                </c:pt>
                <c:pt idx="3">
                  <c:v>20.8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0"/>
        <c:axId val="2328475"/>
        <c:axId val="28154084"/>
      </c:lineChart>
      <c:catAx>
        <c:axId val="23284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Time Slot</a:t>
                </a:r>
                <a:endParaRPr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28154084"/>
        <c:crosses val="autoZero"/>
        <c:auto val="1"/>
        <c:lblAlgn val="ctr"/>
        <c:lblOffset val="100"/>
        <c:noMultiLvlLbl val="0"/>
      </c:catAx>
      <c:valAx>
        <c:axId val="28154084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Bandwidth (Mbps)</a:t>
                </a:r>
                <a:endParaRPr sz="1000" b="1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2328475"/>
        <c:crosses val="autoZero"/>
        <c:crossBetween val="between"/>
      </c:valAx>
    </c:plotArea>
    <c:legend>
      <c:legendPos val="r"/>
      <c:layout/>
      <c:overlay val="0"/>
      <c:spPr>
        <a:noFill/>
        <a:ln w="0"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52ea10a-b9f3-446a-ac34-502c8b83d4b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14</xdr:col>
      <xdr:colOff>364680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5419725" y="190500"/>
        <a:ext cx="7419340" cy="380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A1" sqref="A1"/>
    </sheetView>
  </sheetViews>
  <sheetFormatPr defaultColWidth="8.6796875" defaultRowHeight="16.8"/>
  <cols>
    <col min="1" max="1" width="28" customWidth="1"/>
    <col min="2" max="2" width="10" customWidth="1"/>
    <col min="3" max="4" width="12" customWidth="1"/>
    <col min="5" max="5" width="24" customWidth="1"/>
    <col min="6" max="7" width="22" customWidth="1"/>
    <col min="8" max="8" width="14" customWidth="1"/>
    <col min="9" max="9" width="10" customWidth="1"/>
    <col min="10" max="10" width="18" customWidth="1"/>
    <col min="11" max="11" width="40" customWidth="1"/>
  </cols>
  <sheetData>
    <row r="1" ht="1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" customHeight="1" spans="1:11">
      <c r="A2" s="5" t="s">
        <v>11</v>
      </c>
      <c r="B2" s="5" t="s">
        <v>12</v>
      </c>
      <c r="C2" s="5">
        <v>17761</v>
      </c>
      <c r="D2" s="5" t="s">
        <v>13</v>
      </c>
      <c r="E2" s="5" t="s">
        <v>14</v>
      </c>
      <c r="F2" s="6">
        <v>13.8</v>
      </c>
      <c r="G2" s="5">
        <v>16.5</v>
      </c>
      <c r="H2" s="5" t="s">
        <v>15</v>
      </c>
      <c r="I2" s="5">
        <v>15</v>
      </c>
      <c r="J2" s="5">
        <v>269</v>
      </c>
      <c r="K2" s="5"/>
    </row>
    <row r="3" ht="15" customHeight="1" spans="1:11">
      <c r="A3" s="5" t="s">
        <v>11</v>
      </c>
      <c r="B3" s="5" t="s">
        <v>12</v>
      </c>
      <c r="C3" s="5">
        <v>17761</v>
      </c>
      <c r="D3" s="5" t="s">
        <v>16</v>
      </c>
      <c r="E3" s="5" t="s">
        <v>17</v>
      </c>
      <c r="F3" s="6">
        <v>13.4</v>
      </c>
      <c r="G3" s="5">
        <v>16</v>
      </c>
      <c r="H3" s="5" t="s">
        <v>15</v>
      </c>
      <c r="I3" s="5">
        <v>15</v>
      </c>
      <c r="J3" s="5">
        <v>268.9</v>
      </c>
      <c r="K3" s="5"/>
    </row>
    <row r="4" ht="15" customHeight="1" spans="1:11">
      <c r="A4" s="5" t="s">
        <v>11</v>
      </c>
      <c r="B4" s="5" t="s">
        <v>12</v>
      </c>
      <c r="C4" s="5">
        <v>17761</v>
      </c>
      <c r="D4" s="5" t="s">
        <v>18</v>
      </c>
      <c r="E4" s="5" t="s">
        <v>19</v>
      </c>
      <c r="F4" s="6">
        <v>13.8</v>
      </c>
      <c r="G4" s="5">
        <v>16.5</v>
      </c>
      <c r="H4" s="5" t="s">
        <v>20</v>
      </c>
      <c r="I4" s="5">
        <v>15</v>
      </c>
      <c r="J4" s="5">
        <v>268.3</v>
      </c>
      <c r="K4" s="5"/>
    </row>
    <row r="5" ht="15" customHeight="1" spans="1:11">
      <c r="A5" s="5" t="s">
        <v>11</v>
      </c>
      <c r="B5" s="5" t="s">
        <v>12</v>
      </c>
      <c r="C5" s="5">
        <v>17761</v>
      </c>
      <c r="D5" s="5" t="s">
        <v>21</v>
      </c>
      <c r="E5" s="5" t="s">
        <v>22</v>
      </c>
      <c r="F5" s="6">
        <v>13.6</v>
      </c>
      <c r="G5" s="5">
        <v>16.3</v>
      </c>
      <c r="H5" s="5" t="s">
        <v>15</v>
      </c>
      <c r="I5" s="5">
        <v>15</v>
      </c>
      <c r="J5" s="5">
        <v>304.4</v>
      </c>
      <c r="K5" s="5" t="s">
        <v>23</v>
      </c>
    </row>
    <row r="6" ht="15" customHeight="1" spans="1:11">
      <c r="A6" s="5" t="s">
        <v>24</v>
      </c>
      <c r="B6" s="5" t="s">
        <v>25</v>
      </c>
      <c r="C6" s="5">
        <v>13621</v>
      </c>
      <c r="D6" s="5" t="s">
        <v>13</v>
      </c>
      <c r="E6" s="5" t="s">
        <v>26</v>
      </c>
      <c r="F6" s="6">
        <v>20.6</v>
      </c>
      <c r="G6" s="5">
        <v>25.4</v>
      </c>
      <c r="H6" s="5" t="s">
        <v>27</v>
      </c>
      <c r="I6" s="5">
        <v>25</v>
      </c>
      <c r="J6" s="5">
        <v>327.9</v>
      </c>
      <c r="K6" s="5"/>
    </row>
    <row r="7" ht="15" customHeight="1" spans="1:11">
      <c r="A7" s="5" t="s">
        <v>24</v>
      </c>
      <c r="B7" s="5" t="s">
        <v>25</v>
      </c>
      <c r="C7" s="5">
        <v>13621</v>
      </c>
      <c r="D7" s="5" t="s">
        <v>16</v>
      </c>
      <c r="E7" s="5" t="s">
        <v>28</v>
      </c>
      <c r="F7" s="6">
        <v>22.2</v>
      </c>
      <c r="G7" s="5">
        <v>27.4</v>
      </c>
      <c r="H7" s="5" t="s">
        <v>27</v>
      </c>
      <c r="I7" s="5">
        <v>25</v>
      </c>
      <c r="J7" s="5">
        <v>324.6</v>
      </c>
      <c r="K7" s="5"/>
    </row>
    <row r="8" ht="15" customHeight="1" spans="1:11">
      <c r="A8" s="5" t="s">
        <v>24</v>
      </c>
      <c r="B8" s="5" t="s">
        <v>25</v>
      </c>
      <c r="C8" s="5">
        <v>13621</v>
      </c>
      <c r="D8" s="5" t="s">
        <v>18</v>
      </c>
      <c r="E8" s="5" t="s">
        <v>29</v>
      </c>
      <c r="F8" s="6">
        <v>24.4</v>
      </c>
      <c r="G8" s="5">
        <v>30.1</v>
      </c>
      <c r="H8" s="5" t="s">
        <v>27</v>
      </c>
      <c r="I8" s="5">
        <v>25</v>
      </c>
      <c r="J8" s="5">
        <v>326.1</v>
      </c>
      <c r="K8" s="5" t="s">
        <v>30</v>
      </c>
    </row>
    <row r="9" ht="15" customHeight="1" spans="1:11">
      <c r="A9" s="5" t="s">
        <v>24</v>
      </c>
      <c r="B9" s="5" t="s">
        <v>25</v>
      </c>
      <c r="C9" s="5">
        <v>13621</v>
      </c>
      <c r="D9" s="5" t="s">
        <v>21</v>
      </c>
      <c r="E9" s="5" t="s">
        <v>31</v>
      </c>
      <c r="F9" s="6">
        <v>20.8</v>
      </c>
      <c r="G9" s="5">
        <v>25.6</v>
      </c>
      <c r="H9" s="5" t="s">
        <v>27</v>
      </c>
      <c r="I9" s="5">
        <v>25</v>
      </c>
      <c r="J9" s="5">
        <v>413.4</v>
      </c>
      <c r="K9" s="5" t="s">
        <v>32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A1" sqref="A1"/>
    </sheetView>
  </sheetViews>
  <sheetFormatPr defaultColWidth="8.6796875" defaultRowHeight="16.8" outlineLevelCol="2"/>
  <cols>
    <col min="1" max="1" width="18" customWidth="1"/>
    <col min="2" max="3" width="20" customWidth="1"/>
  </cols>
  <sheetData>
    <row r="1" ht="15" customHeight="1" spans="1:3">
      <c r="A1" s="1" t="s">
        <v>3</v>
      </c>
      <c r="B1" s="1" t="s">
        <v>33</v>
      </c>
      <c r="C1" s="1" t="s">
        <v>34</v>
      </c>
    </row>
    <row r="2" ht="15" customHeight="1" spans="1:3">
      <c r="A2" t="s">
        <v>13</v>
      </c>
      <c r="B2" s="2">
        <v>13.8</v>
      </c>
      <c r="C2" s="2">
        <v>20.6</v>
      </c>
    </row>
    <row r="3" ht="15" customHeight="1" spans="1:3">
      <c r="A3" t="s">
        <v>16</v>
      </c>
      <c r="B3" s="2">
        <v>13.4</v>
      </c>
      <c r="C3" s="2">
        <v>22.2</v>
      </c>
    </row>
    <row r="4" ht="15" customHeight="1" spans="1:3">
      <c r="A4" t="s">
        <v>18</v>
      </c>
      <c r="B4" s="2">
        <v>13.8</v>
      </c>
      <c r="C4" s="2">
        <v>24.4</v>
      </c>
    </row>
    <row r="5" ht="15" customHeight="1" spans="1:3">
      <c r="A5" t="s">
        <v>21</v>
      </c>
      <c r="B5" s="2">
        <v>13.6</v>
      </c>
      <c r="C5" s="2">
        <v>20.8</v>
      </c>
    </row>
    <row r="6" ht="15" customHeight="1" spans="1:3">
      <c r="A6" s="3" t="s">
        <v>35</v>
      </c>
      <c r="B6" s="4">
        <f>AVERAGE(B2:B5)</f>
        <v>13.65</v>
      </c>
      <c r="C6" s="4">
        <f>AVERAGE(C2:C5)</f>
        <v>22</v>
      </c>
    </row>
    <row r="7" ht="15" customHeight="1" spans="1:3">
      <c r="A7" s="3" t="s">
        <v>36</v>
      </c>
      <c r="B7" s="4">
        <f>STDEV(B2:B5)</f>
        <v>0.191485421551268</v>
      </c>
      <c r="C7" s="4">
        <f>STDEV(C2:C5)</f>
        <v>1.75119007154183</v>
      </c>
    </row>
    <row r="8" ht="15" customHeight="1" spans="1:3">
      <c r="A8" s="3" t="s">
        <v>37</v>
      </c>
      <c r="B8" s="4">
        <f>MIN(B2:B5)</f>
        <v>13.4</v>
      </c>
      <c r="C8" s="4">
        <f>MIN(C2:C5)</f>
        <v>20.6</v>
      </c>
    </row>
    <row r="9" ht="15" customHeight="1" spans="1:3">
      <c r="A9" s="3" t="s">
        <v>38</v>
      </c>
      <c r="B9" s="4">
        <f>MAX(B2:B5)</f>
        <v>13.8</v>
      </c>
      <c r="C9" s="4">
        <f>MAX(C2:C5)</f>
        <v>24.4</v>
      </c>
    </row>
    <row r="10" ht="15" customHeight="1" spans="1:3">
      <c r="A10" s="3" t="s">
        <v>39</v>
      </c>
      <c r="B10" s="4">
        <f>B9-B8</f>
        <v>0.4</v>
      </c>
      <c r="C10" s="4">
        <f>C9-C8</f>
        <v>3.8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TimeSlots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</cp:lastModifiedBy>
  <cp:revision>1</cp:revision>
  <dcterms:created xsi:type="dcterms:W3CDTF">2026-04-24T23:44:00Z</dcterms:created>
  <dcterms:modified xsi:type="dcterms:W3CDTF">2026-04-24T23:48:53Z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D61DCF336D54C5BFC574EB6936349C5E_42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