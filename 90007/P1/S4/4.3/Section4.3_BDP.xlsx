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DP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<sst xmlns="http://schemas.openxmlformats.org/spreadsheetml/2006/main" count="19" uniqueCount="19">
  <si>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Host #</t>
  </si>
  <si>
    <t xml:space="preserve">Hostname</t>
  </si>
  <si>
    <t xml:space="preserve">Distance (km)</t>
  </si>
  <si>
    <t xml:space="preserve">Mean RTT (ms) [from S3.2]</t>
  </si>
  <si>
    <t xml:space="preserve">Mean Bandwidth (Mbps) [from S4.1]</t>
  </si>
  <si>
    <t xml:space="preserve">BDP (kilobits)</t>
  </si>
  <si>
    <t xml:space="preserve">BDP (KBytes)</t>
  </si>
  <si>
    <t xml:space="preserve">Notes</t>
  </si>
  <si>
    <t xml:space="preserve">speedtest.awbb.net</t>
  </si>
  <si>
    <t xml:space="preserve">spd-desrv.hostkey.com</t>
  </si>
  <si>
    <t xml:space="preserve">speedtest.wobcom.de</t>
  </si>
  <si>
    <t xml:space="preserve">rychlost.poda.cz</t>
  </si>
  <si>
    <t xml:space="preserve">spd-fisrv.hostkey.com</t>
  </si>
  <si>
    <t xml:space="preserve">speed.itgate.net</t>
  </si>
  <si>
    <t xml:space="preserve">porto.speedtest.net.zon.pt</t>
  </si>
  <si>
    <t xml:space="preserve">speedtest.masnet.ec</t>
  </si>
  <si>
    <t xml:space="preserve">dal.speedtest.clouvider.net</t>
  </si>
  <si>
    <t xml:space="preserve">iperf.he.net</t>
  </si>
  <si>
    <t xml:space="preserve">Average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</si>
</sst>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#,##0"/>
    <numFmt numFmtId="167" formatCode="0.00"/>
    <numFmt numFmtId="168" formatCode="#,##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FF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Bandwidth-Delay Product per Host (Linear)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BDP!F1</c:f>
              <c:strCache>
                <c:ptCount val="1"/>
                <c:pt idx="0">
                  <c:v>BDP (kilobits)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BDP!$B$2:$B$11</c:f>
              <c:strCache>
                <c:ptCount val="10"/>
                <c:pt idx="0">
                  <c:v>speedtest.awbb.net</c:v>
                </c:pt>
                <c:pt idx="1">
                  <c:v>spd-desrv.hostkey.com</c:v>
                </c:pt>
                <c:pt idx="2">
                  <c:v>speedtest.wobcom.de</c:v>
                </c:pt>
                <c:pt idx="3">
                  <c:v>rychlost.poda.cz</c:v>
                </c:pt>
                <c:pt idx="4">
                  <c:v>spd-fisrv.hostkey.com</c:v>
                </c:pt>
                <c:pt idx="5">
                  <c:v>speed.itgate.net</c:v>
                </c:pt>
                <c:pt idx="6">
                  <c:v>porto.speedtest.net.zon.pt</c:v>
                </c:pt>
                <c:pt idx="7">
                  <c:v>speedtest.masnet.ec</c:v>
                </c:pt>
                <c:pt idx="8">
                  <c:v>dal.speedtest.clouvider.net</c:v>
                </c:pt>
                <c:pt idx="9">
                  <c:v>iperf.he.net</c:v>
                </c:pt>
              </c:strCache>
            </c:strRef>
          </c:cat>
          <c:val>
            <c:numRef>
              <c:f>BDP!$F$2:$F$11</c:f>
              <c:numCache>
                <c:formatCode>#,##0.0</c:formatCode>
                <c:ptCount val="10"/>
                <c:pt idx="0">
                  <c:v>22670.558557</c:v>
                </c:pt>
                <c:pt idx="1">
                  <c:v>27422.1985</c:v>
                </c:pt>
                <c:pt idx="2">
                  <c:v>24504.865101</c:v>
                </c:pt>
                <c:pt idx="3">
                  <c:v>14005.46088</c:v>
                </c:pt>
                <c:pt idx="4">
                  <c:v>19868.6166</c:v>
                </c:pt>
                <c:pt idx="5">
                  <c:v>11529.793233</c:v>
                </c:pt>
                <c:pt idx="6">
                  <c:v>4383.949713</c:v>
                </c:pt>
                <c:pt idx="7">
                  <c:v>5034.49676</c:v>
                </c:pt>
                <c:pt idx="8">
                  <c:v>18911.54968</c:v>
                </c:pt>
                <c:pt idx="9">
                  <c:v>8822.168</c:v>
                </c:pt>
              </c:numCache>
            </c:numRef>
          </c:val>
        </c:ser>
        <c:gapWidth val="150"/>
        <c:overlap val="0"/>
        <c:axId val="55809385"/>
        <c:axId val="85406967"/>
      </c:barChart>
      <c:catAx>
        <c:axId val="558093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Host #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406967"/>
        <c:crosses val="autoZero"/>
        <c:auto val="1"/>
        <c:lblAlgn val="ctr"/>
        <c:lblOffset val="100"/>
        <c:noMultiLvlLbl val="0"/>
      </c:catAx>
      <c:valAx>
        <c:axId val="854069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BDP (kilobits)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580938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Bandwidth-Delay Product per Host (Log Scale)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BDP!F1</c:f>
              <c:strCache>
                <c:ptCount val="1"/>
                <c:pt idx="0">
                  <c:v>BDP (kilobits)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BDP!$B$2:$B$11</c:f>
              <c:strCache>
                <c:ptCount val="10"/>
                <c:pt idx="0">
                  <c:v>speedtest.awbb.net</c:v>
                </c:pt>
                <c:pt idx="1">
                  <c:v>spd-desrv.hostkey.com</c:v>
                </c:pt>
                <c:pt idx="2">
                  <c:v>speedtest.wobcom.de</c:v>
                </c:pt>
                <c:pt idx="3">
                  <c:v>rychlost.poda.cz</c:v>
                </c:pt>
                <c:pt idx="4">
                  <c:v>spd-fisrv.hostkey.com</c:v>
                </c:pt>
                <c:pt idx="5">
                  <c:v>speed.itgate.net</c:v>
                </c:pt>
                <c:pt idx="6">
                  <c:v>porto.speedtest.net.zon.pt</c:v>
                </c:pt>
                <c:pt idx="7">
                  <c:v>speedtest.masnet.ec</c:v>
                </c:pt>
                <c:pt idx="8">
                  <c:v>dal.speedtest.clouvider.net</c:v>
                </c:pt>
                <c:pt idx="9">
                  <c:v>iperf.he.net</c:v>
                </c:pt>
              </c:strCache>
            </c:strRef>
          </c:cat>
          <c:val>
            <c:numRef>
              <c:f>BDP!$F$2:$F$11</c:f>
              <c:numCache>
                <c:formatCode>#,##0.0</c:formatCode>
                <c:ptCount val="10"/>
                <c:pt idx="0">
                  <c:v>22670.558557</c:v>
                </c:pt>
                <c:pt idx="1">
                  <c:v>27422.1985</c:v>
                </c:pt>
                <c:pt idx="2">
                  <c:v>24504.865101</c:v>
                </c:pt>
                <c:pt idx="3">
                  <c:v>14005.46088</c:v>
                </c:pt>
                <c:pt idx="4">
                  <c:v>19868.6166</c:v>
                </c:pt>
                <c:pt idx="5">
                  <c:v>11529.793233</c:v>
                </c:pt>
                <c:pt idx="6">
                  <c:v>4383.949713</c:v>
                </c:pt>
                <c:pt idx="7">
                  <c:v>5034.49676</c:v>
                </c:pt>
                <c:pt idx="8">
                  <c:v>18911.54968</c:v>
                </c:pt>
                <c:pt idx="9">
                  <c:v>8822.168</c:v>
                </c:pt>
              </c:numCache>
            </c:numRef>
          </c:val>
        </c:ser>
        <c:gapWidth val="150"/>
        <c:overlap val="0"/>
        <c:axId val="6630637"/>
        <c:axId val="36654187"/>
      </c:barChart>
      <c:catAx>
        <c:axId val="66306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Host #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6654187"/>
        <c:crosses val="autoZero"/>
        <c:auto val="1"/>
        <c:lblAlgn val="ctr"/>
        <c:lblOffset val="100"/>
        <c:noMultiLvlLbl val="0"/>
      </c:catAx>
      <c:valAx>
        <c:axId val="36654187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BDP (kilobits, log10)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3063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0</xdr:rowOff>
    </xdr:from>
    <xdr:to>
      <xdr:col>4</xdr:col>
      <xdr:colOff>1122480</xdr:colOff>
      <xdr:row>33</xdr:row>
      <xdr:rowOff>170280</xdr:rowOff>
    </xdr:to>
    <xdr:graphicFrame>
      <xdr:nvGraphicFramePr>
        <xdr:cNvPr id="1" name="Chart 1"/>
        <xdr:cNvGraphicFramePr/>
      </xdr:nvGraphicFramePr>
      <xdr:xfrm>
        <a:off x="0" y="2857680"/>
        <a:ext cx="647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37</xdr:row>
      <xdr:rowOff>0</xdr:rowOff>
    </xdr:from>
    <xdr:to>
      <xdr:col>4</xdr:col>
      <xdr:colOff>1122480</xdr:colOff>
      <xdr:row>55</xdr:row>
      <xdr:rowOff>170280</xdr:rowOff>
    </xdr:to>
    <xdr:graphicFrame>
      <xdr:nvGraphicFramePr>
        <xdr:cNvPr id="2" name="Chart 2"/>
        <xdr:cNvGraphicFramePr/>
      </xdr:nvGraphicFramePr>
      <xdr:xfrm>
        <a:off x="0" y="7048440"/>
        <a:ext cx="647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24"/>
    <col collapsed="false" customWidth="true" hidden="false" outlineLevel="0" max="5" min="5" style="1" width="30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40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A2" s="3" t="n">
        <v>1</v>
      </c>
      <c r="B2" s="4" t="s">
        <v>8</v>
      </c>
      <c r="C2" s="5" t="n">
        <v>14155</v>
      </c>
      <c r="D2" s="6" t="n">
        <v>369.029</v>
      </c>
      <c r="E2" s="6" t="n">
        <v>61.433</v>
      </c>
      <c r="F2" s="7" t="n">
        <f aca="false">D2*E2</f>
        <v>22670.558557</v>
      </c>
      <c r="G2" s="7" t="n">
        <f aca="false">F2*1000/8/1024</f>
        <v>2767.40216760254</v>
      </c>
      <c r="H2" s="8"/>
    </row>
    <row r="3" customFormat="false" ht="15" hidden="false" customHeight="false" outlineLevel="0" collapsed="false">
      <c r="A3" s="3" t="n">
        <v>2</v>
      </c>
      <c r="B3" s="4" t="s">
        <v>9</v>
      </c>
      <c r="C3" s="5" t="n">
        <v>16321</v>
      </c>
      <c r="D3" s="6" t="n">
        <v>322.235</v>
      </c>
      <c r="E3" s="6" t="n">
        <v>85.1</v>
      </c>
      <c r="F3" s="7" t="n">
        <f aca="false">D3*E3</f>
        <v>27422.1985</v>
      </c>
      <c r="G3" s="7" t="n">
        <f aca="false">F3*1000/8/1024</f>
        <v>3347.43634033203</v>
      </c>
      <c r="H3" s="8"/>
    </row>
    <row r="4" customFormat="false" ht="15" hidden="false" customHeight="false" outlineLevel="0" collapsed="false">
      <c r="A4" s="3" t="n">
        <v>3</v>
      </c>
      <c r="B4" s="4" t="s">
        <v>10</v>
      </c>
      <c r="C4" s="5" t="n">
        <v>16321</v>
      </c>
      <c r="D4" s="6" t="n">
        <v>323.997</v>
      </c>
      <c r="E4" s="6" t="n">
        <v>75.633</v>
      </c>
      <c r="F4" s="7" t="n">
        <f aca="false">D4*E4</f>
        <v>24504.865101</v>
      </c>
      <c r="G4" s="7" t="n">
        <f aca="false">F4*1000/8/1024</f>
        <v>2991.31654064941</v>
      </c>
      <c r="H4" s="8"/>
    </row>
    <row r="5" customFormat="false" ht="15" hidden="false" customHeight="false" outlineLevel="0" collapsed="false">
      <c r="A5" s="3" t="n">
        <v>4</v>
      </c>
      <c r="B5" s="4" t="s">
        <v>11</v>
      </c>
      <c r="C5" s="5" t="n">
        <v>15636</v>
      </c>
      <c r="D5" s="6" t="n">
        <v>361.338</v>
      </c>
      <c r="E5" s="6" t="n">
        <v>38.76</v>
      </c>
      <c r="F5" s="7" t="n">
        <f aca="false">D5*E5</f>
        <v>14005.46088</v>
      </c>
      <c r="G5" s="7" t="n">
        <f aca="false">F5*1000/8/1024</f>
        <v>1709.65098632813</v>
      </c>
      <c r="H5" s="8"/>
    </row>
    <row r="6" customFormat="false" ht="15" hidden="false" customHeight="false" outlineLevel="0" collapsed="false">
      <c r="A6" s="3" t="n">
        <v>5</v>
      </c>
      <c r="B6" s="4" t="s">
        <v>12</v>
      </c>
      <c r="C6" s="5" t="n">
        <v>15207</v>
      </c>
      <c r="D6" s="6" t="n">
        <v>343.154</v>
      </c>
      <c r="E6" s="6" t="n">
        <v>57.9</v>
      </c>
      <c r="F6" s="7" t="n">
        <f aca="false">D6*E6</f>
        <v>19868.6166</v>
      </c>
      <c r="G6" s="7" t="n">
        <f aca="false">F6*1000/8/1024</f>
        <v>2425.36823730469</v>
      </c>
      <c r="H6" s="8"/>
    </row>
    <row r="7" customFormat="false" ht="15" hidden="false" customHeight="false" outlineLevel="0" collapsed="false">
      <c r="A7" s="3" t="n">
        <v>6</v>
      </c>
      <c r="B7" s="4" t="s">
        <v>13</v>
      </c>
      <c r="C7" s="5" t="n">
        <v>16292</v>
      </c>
      <c r="D7" s="6" t="n">
        <v>346.521</v>
      </c>
      <c r="E7" s="6" t="n">
        <v>33.273</v>
      </c>
      <c r="F7" s="7" t="n">
        <f aca="false">D7*E7</f>
        <v>11529.793233</v>
      </c>
      <c r="G7" s="7" t="n">
        <f aca="false">F7*1000/8/1024</f>
        <v>1407.4454630127</v>
      </c>
      <c r="H7" s="8"/>
    </row>
    <row r="8" customFormat="false" ht="15" hidden="false" customHeight="false" outlineLevel="0" collapsed="false">
      <c r="A8" s="3" t="n">
        <v>7</v>
      </c>
      <c r="B8" s="4" t="s">
        <v>14</v>
      </c>
      <c r="C8" s="5" t="n">
        <v>17761</v>
      </c>
      <c r="D8" s="6" t="n">
        <v>318.439</v>
      </c>
      <c r="E8" s="6" t="n">
        <v>13.767</v>
      </c>
      <c r="F8" s="7" t="n">
        <f aca="false">D8*E8</f>
        <v>4383.949713</v>
      </c>
      <c r="G8" s="7" t="n">
        <f aca="false">F8*1000/8/1024</f>
        <v>535.150111450195</v>
      </c>
      <c r="H8" s="8"/>
    </row>
    <row r="9" customFormat="false" ht="15" hidden="false" customHeight="false" outlineLevel="0" collapsed="false">
      <c r="A9" s="3" t="n">
        <v>8</v>
      </c>
      <c r="B9" s="4" t="s">
        <v>15</v>
      </c>
      <c r="C9" s="5" t="n">
        <v>13621</v>
      </c>
      <c r="D9" s="6" t="n">
        <v>353.72</v>
      </c>
      <c r="E9" s="6" t="n">
        <v>14.233</v>
      </c>
      <c r="F9" s="7" t="n">
        <f aca="false">D9*E9</f>
        <v>5034.49676</v>
      </c>
      <c r="G9" s="7" t="n">
        <f aca="false">F9*1000/8/1024</f>
        <v>614.562592773438</v>
      </c>
      <c r="H9" s="8"/>
    </row>
    <row r="10" customFormat="false" ht="15" hidden="false" customHeight="false" outlineLevel="0" collapsed="false">
      <c r="A10" s="3" t="n">
        <v>9</v>
      </c>
      <c r="B10" s="4" t="s">
        <v>16</v>
      </c>
      <c r="C10" s="5" t="n">
        <v>14482</v>
      </c>
      <c r="D10" s="6" t="n">
        <v>193.04</v>
      </c>
      <c r="E10" s="6" t="n">
        <v>97.967</v>
      </c>
      <c r="F10" s="7" t="n">
        <f aca="false">D10*E10</f>
        <v>18911.54968</v>
      </c>
      <c r="G10" s="7" t="n">
        <f aca="false">F10*1000/8/1024</f>
        <v>2308.53877929688</v>
      </c>
      <c r="H10" s="8"/>
    </row>
    <row r="11" customFormat="false" ht="15" hidden="false" customHeight="false" outlineLevel="0" collapsed="false">
      <c r="A11" s="3" t="n">
        <v>10</v>
      </c>
      <c r="B11" s="4" t="s">
        <v>17</v>
      </c>
      <c r="C11" s="5" t="n">
        <v>12679</v>
      </c>
      <c r="D11" s="6" t="n">
        <v>332.912</v>
      </c>
      <c r="E11" s="6" t="n">
        <v>26.5</v>
      </c>
      <c r="F11" s="7" t="n">
        <f aca="false">D11*E11</f>
        <v>8822.168</v>
      </c>
      <c r="G11" s="7" t="n">
        <f aca="false">F11*1000/8/1024</f>
        <v>1076.9248046875</v>
      </c>
      <c r="H11" s="8"/>
    </row>
    <row r="13" customFormat="false" ht="15" hidden="false" customHeight="false" outlineLevel="0" collapsed="false">
      <c r="A13" s="9"/>
      <c r="B13" s="9" t="s">
        <v>18</v>
      </c>
      <c r="C13" s="10" t="n">
        <f aca="false">AVERAGE(C2:C11)</f>
        <v>15247.5</v>
      </c>
      <c r="D13" s="10" t="n">
        <f aca="false">AVERAGE(D2:D11)</f>
        <v>326.4385</v>
      </c>
      <c r="E13" s="10" t="n">
        <f aca="false">AVERAGE(E2:E11)</f>
        <v>50.4566</v>
      </c>
      <c r="F13" s="11" t="n">
        <f aca="false">AVERAGE(F2:F11)</f>
        <v>15715.3657024</v>
      </c>
      <c r="G13" s="11" t="n">
        <f aca="false">AVERAGE(G2:G11)</f>
        <v>1918.37960234375</v>
      </c>
      <c r="H13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2026-04-24T13:24:25Z</dcterms:created>
  <dc:creator>openpyxl</dc:creator>
  <dc:description/>
  <dc:language>en-US</dc:language>
  <cp:lastModifiedBy/>
  <dcterms:modified xsi:type="dcterms:W3CDTF">2026-04-24T13:44:59Z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